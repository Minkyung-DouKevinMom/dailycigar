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ILYCIGAR_DB\"/>
    </mc:Choice>
  </mc:AlternateContent>
  <xr:revisionPtr revIDLastSave="0" documentId="13_ncr:1_{079C0493-BB34-4414-81B7-1F7ABD31B86B}" xr6:coauthVersionLast="47" xr6:coauthVersionMax="47" xr10:uidLastSave="{00000000-0000-0000-0000-000000000000}"/>
  <bookViews>
    <workbookView xWindow="-108" yWindow="-108" windowWidth="23256" windowHeight="12456" xr2:uid="{C954FE4A-0EB6-47D8-A68E-E3A80340FCAD}"/>
  </bookViews>
  <sheets>
    <sheet name="가격분석" sheetId="24" r:id="rId1"/>
    <sheet name="시가특징" sheetId="27" r:id="rId2"/>
    <sheet name="(참고)본사정식수출가격" sheetId="8" r:id="rId3"/>
    <sheet name="선물세트" sheetId="25" r:id="rId4"/>
    <sheet name="Sheet1" sheetId="28" r:id="rId5"/>
  </sheets>
  <definedNames>
    <definedName name="_xlnm._FilterDatabase" localSheetId="1" hidden="1">시가특징!$A$2:$M$56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24" l="1"/>
  <c r="R41" i="24" s="1"/>
  <c r="O41" i="24"/>
  <c r="P41" i="24" s="1"/>
  <c r="Q41" i="24"/>
  <c r="I41" i="24"/>
  <c r="J41" i="24" s="1"/>
  <c r="S41" i="24" l="1"/>
  <c r="W29" i="24" l="1"/>
  <c r="X29" i="24" s="1"/>
  <c r="W37" i="24"/>
  <c r="X37" i="24" s="1"/>
  <c r="W35" i="24"/>
  <c r="X35" i="24" s="1"/>
  <c r="AA36" i="24" l="1"/>
  <c r="AB36" i="24" s="1"/>
  <c r="AC36" i="24"/>
  <c r="AA37" i="24"/>
  <c r="AB37" i="24" s="1"/>
  <c r="AC37" i="24"/>
  <c r="AA38" i="24"/>
  <c r="AB38" i="24" s="1"/>
  <c r="AC38" i="24"/>
  <c r="AA39" i="24"/>
  <c r="AB39" i="24" s="1"/>
  <c r="AC39" i="24"/>
  <c r="AA40" i="24"/>
  <c r="AB40" i="24" s="1"/>
  <c r="AC40" i="24"/>
  <c r="AA34" i="24"/>
  <c r="AB34" i="24" s="1"/>
  <c r="AC34" i="24"/>
  <c r="AA33" i="24"/>
  <c r="AB33" i="24" s="1"/>
  <c r="AC33" i="24"/>
  <c r="AA31" i="24"/>
  <c r="AB31" i="24" s="1"/>
  <c r="AC31" i="24"/>
  <c r="AA29" i="24"/>
  <c r="AB29" i="24" s="1"/>
  <c r="AC29" i="24"/>
  <c r="AA28" i="24"/>
  <c r="AB28" i="24" s="1"/>
  <c r="AC28" i="24"/>
  <c r="AA27" i="24"/>
  <c r="AB27" i="24" s="1"/>
  <c r="AC27" i="24"/>
  <c r="AA26" i="24"/>
  <c r="AB26" i="24" s="1"/>
  <c r="AC26" i="24"/>
  <c r="AA25" i="24"/>
  <c r="AB25" i="24" s="1"/>
  <c r="AC25" i="24"/>
  <c r="AA24" i="24"/>
  <c r="AB24" i="24" s="1"/>
  <c r="AC24" i="24"/>
  <c r="AA7" i="24"/>
  <c r="AB7" i="24"/>
  <c r="AC7" i="24"/>
  <c r="K46" i="27" l="1"/>
  <c r="L46" i="27" s="1"/>
  <c r="K44" i="27"/>
  <c r="L44" i="27" s="1"/>
  <c r="W31" i="24"/>
  <c r="X31" i="24" s="1"/>
  <c r="W25" i="24"/>
  <c r="X25" i="24" s="1"/>
  <c r="W26" i="24"/>
  <c r="X26" i="24" s="1"/>
  <c r="W24" i="24"/>
  <c r="X24" i="24" s="1"/>
  <c r="W7" i="24"/>
  <c r="X7" i="24" s="1"/>
  <c r="X3" i="24"/>
  <c r="N32" i="24"/>
  <c r="O32" i="24"/>
  <c r="P32" i="24" s="1"/>
  <c r="Q32" i="24"/>
  <c r="N33" i="24"/>
  <c r="O33" i="24"/>
  <c r="P33" i="24" s="1"/>
  <c r="Q33" i="24"/>
  <c r="N34" i="24"/>
  <c r="O34" i="24"/>
  <c r="P34" i="24" s="1"/>
  <c r="Q34" i="24"/>
  <c r="N35" i="24"/>
  <c r="O35" i="24"/>
  <c r="P35" i="24" s="1"/>
  <c r="Q35" i="24"/>
  <c r="N36" i="24"/>
  <c r="O36" i="24"/>
  <c r="P36" i="24" s="1"/>
  <c r="Q36" i="24"/>
  <c r="N37" i="24"/>
  <c r="O37" i="24"/>
  <c r="P37" i="24" s="1"/>
  <c r="Q37" i="24"/>
  <c r="N38" i="24"/>
  <c r="O38" i="24"/>
  <c r="P38" i="24" s="1"/>
  <c r="Q38" i="24"/>
  <c r="N39" i="24"/>
  <c r="O39" i="24"/>
  <c r="P39" i="24" s="1"/>
  <c r="Q39" i="24"/>
  <c r="N40" i="24"/>
  <c r="O40" i="24"/>
  <c r="P40" i="24"/>
  <c r="Q40" i="24"/>
  <c r="N30" i="24"/>
  <c r="O30" i="24"/>
  <c r="P30" i="24" s="1"/>
  <c r="Q30" i="24"/>
  <c r="N31" i="24"/>
  <c r="O31" i="24"/>
  <c r="P31" i="24"/>
  <c r="Q31" i="24"/>
  <c r="N26" i="24"/>
  <c r="O26" i="24"/>
  <c r="P26" i="24"/>
  <c r="Q26" i="24"/>
  <c r="N27" i="24"/>
  <c r="O27" i="24"/>
  <c r="P27" i="24" s="1"/>
  <c r="Q27" i="24"/>
  <c r="N28" i="24"/>
  <c r="O28" i="24"/>
  <c r="P28" i="24"/>
  <c r="Q28" i="24"/>
  <c r="N29" i="24"/>
  <c r="O29" i="24"/>
  <c r="P29" i="24"/>
  <c r="Q29" i="24"/>
  <c r="N25" i="24"/>
  <c r="O25" i="24"/>
  <c r="P25" i="24" s="1"/>
  <c r="Q25" i="24"/>
  <c r="N24" i="24"/>
  <c r="O24" i="24"/>
  <c r="P24" i="24" s="1"/>
  <c r="Q24" i="24"/>
  <c r="F25" i="24"/>
  <c r="I25" i="24" s="1"/>
  <c r="J25" i="24" s="1"/>
  <c r="F26" i="24"/>
  <c r="I26" i="24" s="1"/>
  <c r="J26" i="24" s="1"/>
  <c r="F27" i="24"/>
  <c r="I27" i="24" s="1"/>
  <c r="J27" i="24" s="1"/>
  <c r="F28" i="24"/>
  <c r="I28" i="24" s="1"/>
  <c r="J28" i="24" s="1"/>
  <c r="F29" i="24"/>
  <c r="I29" i="24" s="1"/>
  <c r="J29" i="24" s="1"/>
  <c r="F30" i="24"/>
  <c r="F31" i="24"/>
  <c r="I31" i="24" s="1"/>
  <c r="J31" i="24" s="1"/>
  <c r="F32" i="24"/>
  <c r="I32" i="24" s="1"/>
  <c r="J32" i="24" s="1"/>
  <c r="F33" i="24"/>
  <c r="I33" i="24" s="1"/>
  <c r="J33" i="24" s="1"/>
  <c r="F34" i="24"/>
  <c r="I34" i="24" s="1"/>
  <c r="J34" i="24" s="1"/>
  <c r="F35" i="24"/>
  <c r="I35" i="24" s="1"/>
  <c r="J35" i="24" s="1"/>
  <c r="F36" i="24"/>
  <c r="I36" i="24" s="1"/>
  <c r="J36" i="24" s="1"/>
  <c r="F37" i="24"/>
  <c r="I37" i="24" s="1"/>
  <c r="J37" i="24" s="1"/>
  <c r="F38" i="24"/>
  <c r="I38" i="24" s="1"/>
  <c r="J38" i="24" s="1"/>
  <c r="F39" i="24"/>
  <c r="I39" i="24" s="1"/>
  <c r="J39" i="24" s="1"/>
  <c r="F40" i="24"/>
  <c r="I40" i="24" s="1"/>
  <c r="J40" i="24" s="1"/>
  <c r="F24" i="24"/>
  <c r="I24" i="24" s="1"/>
  <c r="J24" i="24" s="1"/>
  <c r="Q7" i="24"/>
  <c r="O7" i="24"/>
  <c r="P7" i="24" s="1"/>
  <c r="N7" i="24"/>
  <c r="F7" i="24"/>
  <c r="I7" i="24" s="1"/>
  <c r="J7" i="24" s="1"/>
  <c r="T20" i="25"/>
  <c r="T19" i="25"/>
  <c r="Z21" i="25"/>
  <c r="AA21" i="25" s="1"/>
  <c r="Z18" i="25"/>
  <c r="AA18" i="25" s="1"/>
  <c r="Z12" i="25"/>
  <c r="Z15" i="25"/>
  <c r="AA15" i="25" s="1"/>
  <c r="X40" i="25"/>
  <c r="Y40" i="25" s="1"/>
  <c r="X36" i="25"/>
  <c r="Y36" i="25" s="1"/>
  <c r="X32" i="25"/>
  <c r="Y32" i="25" s="1"/>
  <c r="AA12" i="25"/>
  <c r="X28" i="25"/>
  <c r="Y28" i="25" s="1"/>
  <c r="R38" i="24" l="1"/>
  <c r="R26" i="24"/>
  <c r="S26" i="24" s="1"/>
  <c r="R24" i="24"/>
  <c r="S24" i="24" s="1"/>
  <c r="U24" i="24" s="1"/>
  <c r="R25" i="24"/>
  <c r="S25" i="24" s="1"/>
  <c r="U25" i="24" s="1"/>
  <c r="R35" i="24"/>
  <c r="S35" i="24" s="1"/>
  <c r="U35" i="24" s="1"/>
  <c r="R28" i="24"/>
  <c r="S28" i="24" s="1"/>
  <c r="U28" i="24" s="1"/>
  <c r="R27" i="24"/>
  <c r="S27" i="24" s="1"/>
  <c r="U27" i="24" s="1"/>
  <c r="R40" i="24"/>
  <c r="S40" i="24" s="1"/>
  <c r="U40" i="24" s="1"/>
  <c r="R33" i="24"/>
  <c r="S33" i="24" s="1"/>
  <c r="U33" i="24" s="1"/>
  <c r="S38" i="24"/>
  <c r="U38" i="24" s="1"/>
  <c r="R31" i="24"/>
  <c r="S31" i="24" s="1"/>
  <c r="U31" i="24" s="1"/>
  <c r="R29" i="24"/>
  <c r="S29" i="24" s="1"/>
  <c r="U29" i="24" s="1"/>
  <c r="R32" i="24"/>
  <c r="S32" i="24" s="1"/>
  <c r="U32" i="24" s="1"/>
  <c r="R37" i="24"/>
  <c r="S37" i="24" s="1"/>
  <c r="U37" i="24" s="1"/>
  <c r="R34" i="24"/>
  <c r="S34" i="24" s="1"/>
  <c r="U34" i="24" s="1"/>
  <c r="U26" i="24"/>
  <c r="R39" i="24"/>
  <c r="S39" i="24" s="1"/>
  <c r="U39" i="24" s="1"/>
  <c r="R36" i="24"/>
  <c r="S36" i="24" s="1"/>
  <c r="U36" i="24" s="1"/>
  <c r="R7" i="24"/>
  <c r="S7" i="24" s="1"/>
  <c r="U7" i="24" s="1"/>
  <c r="AE41" i="24"/>
  <c r="AD41" i="24"/>
  <c r="W30" i="24"/>
  <c r="X30" i="24" s="1"/>
  <c r="W13" i="24"/>
  <c r="X13" i="24" s="1"/>
  <c r="W12" i="24"/>
  <c r="X12" i="24" s="1"/>
  <c r="W11" i="24"/>
  <c r="X11" i="24" s="1"/>
  <c r="W23" i="24"/>
  <c r="X23" i="24" s="1"/>
  <c r="W22" i="24"/>
  <c r="X22" i="24" s="1"/>
  <c r="W21" i="24"/>
  <c r="X21" i="24" s="1"/>
  <c r="W20" i="24"/>
  <c r="X20" i="24" s="1"/>
  <c r="W19" i="24"/>
  <c r="X19" i="24" s="1"/>
  <c r="W18" i="24"/>
  <c r="X18" i="24" s="1"/>
  <c r="W17" i="24"/>
  <c r="X17" i="24" s="1"/>
  <c r="W16" i="24"/>
  <c r="X16" i="24" s="1"/>
  <c r="W15" i="24"/>
  <c r="X15" i="24" s="1"/>
  <c r="W14" i="24"/>
  <c r="X14" i="24" s="1"/>
  <c r="W9" i="24"/>
  <c r="X9" i="24" s="1"/>
  <c r="W10" i="24"/>
  <c r="X10" i="24" s="1"/>
  <c r="W8" i="24"/>
  <c r="X8" i="24" s="1"/>
  <c r="W6" i="24"/>
  <c r="X6" i="24" s="1"/>
  <c r="W5" i="24"/>
  <c r="X5" i="24" s="1"/>
  <c r="W4" i="24"/>
  <c r="X4" i="24" s="1"/>
  <c r="AA41" i="24"/>
  <c r="AB41" i="24" s="1"/>
  <c r="AA35" i="24"/>
  <c r="AB35" i="24" s="1"/>
  <c r="AA32" i="24"/>
  <c r="AB32" i="24" s="1"/>
  <c r="AA30" i="24"/>
  <c r="AB30" i="24" s="1"/>
  <c r="AA13" i="24"/>
  <c r="AB13" i="24" s="1"/>
  <c r="AA12" i="24"/>
  <c r="AB12" i="24" s="1"/>
  <c r="AA11" i="24"/>
  <c r="AB11" i="24" s="1"/>
  <c r="AA23" i="24"/>
  <c r="AB23" i="24" s="1"/>
  <c r="AA22" i="24"/>
  <c r="AB22" i="24" s="1"/>
  <c r="AA21" i="24"/>
  <c r="AB21" i="24" s="1"/>
  <c r="AA20" i="24"/>
  <c r="AB20" i="24" s="1"/>
  <c r="AC19" i="24"/>
  <c r="AA19" i="24"/>
  <c r="AB19" i="24" s="1"/>
  <c r="AC18" i="24"/>
  <c r="AA18" i="24"/>
  <c r="AB18" i="24" s="1"/>
  <c r="AC14" i="24"/>
  <c r="AC15" i="24"/>
  <c r="AC16" i="24"/>
  <c r="AC17" i="24"/>
  <c r="AC20" i="24"/>
  <c r="AC21" i="24"/>
  <c r="AC22" i="24"/>
  <c r="AC23" i="24"/>
  <c r="AC11" i="24"/>
  <c r="AC12" i="24"/>
  <c r="AC13" i="24"/>
  <c r="AC30" i="24"/>
  <c r="AC32" i="24"/>
  <c r="AC35" i="24"/>
  <c r="AC41" i="24"/>
  <c r="AA17" i="24"/>
  <c r="AB17" i="24" s="1"/>
  <c r="AA16" i="24"/>
  <c r="AB16" i="24" s="1"/>
  <c r="AA15" i="24"/>
  <c r="AB15" i="24" s="1"/>
  <c r="AA14" i="24"/>
  <c r="AB14" i="24" s="1"/>
  <c r="AC10" i="24"/>
  <c r="AA10" i="24"/>
  <c r="AB10" i="24" s="1"/>
  <c r="AC9" i="24"/>
  <c r="AA9" i="24"/>
  <c r="AB9" i="24" s="1"/>
  <c r="AC8" i="24"/>
  <c r="AA8" i="24"/>
  <c r="AB8" i="24" s="1"/>
  <c r="AC6" i="24"/>
  <c r="AA6" i="24"/>
  <c r="AB6" i="24" s="1"/>
  <c r="AC5" i="24"/>
  <c r="AA5" i="24"/>
  <c r="AB5" i="24" s="1"/>
  <c r="AC4" i="24"/>
  <c r="AA4" i="24"/>
  <c r="AB4" i="24" s="1"/>
  <c r="AC3" i="24"/>
  <c r="AA3" i="24"/>
  <c r="AB3" i="24" s="1"/>
  <c r="N9" i="24"/>
  <c r="O9" i="24"/>
  <c r="P9" i="24" s="1"/>
  <c r="Q9" i="24"/>
  <c r="M10" i="24"/>
  <c r="N10" i="24"/>
  <c r="O10" i="24"/>
  <c r="P10" i="24" s="1"/>
  <c r="Q10" i="24"/>
  <c r="M14" i="24"/>
  <c r="N14" i="24"/>
  <c r="O14" i="24"/>
  <c r="P14" i="24" s="1"/>
  <c r="Q14" i="24"/>
  <c r="M15" i="24"/>
  <c r="N15" i="24"/>
  <c r="O15" i="24"/>
  <c r="P15" i="24" s="1"/>
  <c r="Q15" i="24"/>
  <c r="N16" i="24"/>
  <c r="O16" i="24"/>
  <c r="P16" i="24" s="1"/>
  <c r="Q16" i="24"/>
  <c r="M17" i="24"/>
  <c r="N17" i="24"/>
  <c r="O17" i="24"/>
  <c r="P17" i="24" s="1"/>
  <c r="Q17" i="24"/>
  <c r="N18" i="24"/>
  <c r="O18" i="24"/>
  <c r="P18" i="24" s="1"/>
  <c r="Q18" i="24"/>
  <c r="N19" i="24"/>
  <c r="O19" i="24"/>
  <c r="P19" i="24" s="1"/>
  <c r="Q19" i="24"/>
  <c r="M20" i="24"/>
  <c r="N20" i="24"/>
  <c r="O20" i="24"/>
  <c r="P20" i="24" s="1"/>
  <c r="Q20" i="24"/>
  <c r="M21" i="24"/>
  <c r="N21" i="24"/>
  <c r="O21" i="24"/>
  <c r="P21" i="24" s="1"/>
  <c r="Q21" i="24"/>
  <c r="N22" i="24"/>
  <c r="O22" i="24"/>
  <c r="P22" i="24" s="1"/>
  <c r="Q22" i="24"/>
  <c r="N23" i="24"/>
  <c r="O23" i="24"/>
  <c r="P23" i="24" s="1"/>
  <c r="Q23" i="24"/>
  <c r="M11" i="24"/>
  <c r="N11" i="24"/>
  <c r="O11" i="24"/>
  <c r="P11" i="24" s="1"/>
  <c r="Q11" i="24"/>
  <c r="N12" i="24"/>
  <c r="O12" i="24"/>
  <c r="P12" i="24" s="1"/>
  <c r="Q12" i="24"/>
  <c r="N13" i="24"/>
  <c r="O13" i="24"/>
  <c r="P13" i="24" s="1"/>
  <c r="Q13" i="24"/>
  <c r="N5" i="24"/>
  <c r="O5" i="24"/>
  <c r="P5" i="24" s="1"/>
  <c r="Q5" i="24"/>
  <c r="F5" i="24"/>
  <c r="I5" i="24" s="1"/>
  <c r="J5" i="24" s="1"/>
  <c r="F6" i="24"/>
  <c r="I6" i="24" s="1"/>
  <c r="J6" i="24" s="1"/>
  <c r="F8" i="24"/>
  <c r="I8" i="24" s="1"/>
  <c r="J8" i="24" s="1"/>
  <c r="F9" i="24"/>
  <c r="I9" i="24" s="1"/>
  <c r="J9" i="24" s="1"/>
  <c r="F10" i="24"/>
  <c r="I10" i="24" s="1"/>
  <c r="J10" i="24" s="1"/>
  <c r="F14" i="24"/>
  <c r="I14" i="24" s="1"/>
  <c r="J14" i="24" s="1"/>
  <c r="F15" i="24"/>
  <c r="I15" i="24" s="1"/>
  <c r="J15" i="24" s="1"/>
  <c r="F16" i="24"/>
  <c r="I16" i="24" s="1"/>
  <c r="J16" i="24" s="1"/>
  <c r="F17" i="24"/>
  <c r="I17" i="24" s="1"/>
  <c r="J17" i="24" s="1"/>
  <c r="F18" i="24"/>
  <c r="I18" i="24" s="1"/>
  <c r="J18" i="24" s="1"/>
  <c r="F19" i="24"/>
  <c r="I19" i="24" s="1"/>
  <c r="J19" i="24" s="1"/>
  <c r="F20" i="24"/>
  <c r="I20" i="24" s="1"/>
  <c r="J20" i="24" s="1"/>
  <c r="F21" i="24"/>
  <c r="I21" i="24" s="1"/>
  <c r="J21" i="24" s="1"/>
  <c r="F22" i="24"/>
  <c r="I22" i="24" s="1"/>
  <c r="J22" i="24" s="1"/>
  <c r="F23" i="24"/>
  <c r="I23" i="24" s="1"/>
  <c r="J23" i="24" s="1"/>
  <c r="F11" i="24"/>
  <c r="I11" i="24" s="1"/>
  <c r="J11" i="24" s="1"/>
  <c r="F12" i="24"/>
  <c r="I12" i="24" s="1"/>
  <c r="J12" i="24" s="1"/>
  <c r="F13" i="24"/>
  <c r="I13" i="24" s="1"/>
  <c r="J13" i="24" s="1"/>
  <c r="AD32" i="24" l="1"/>
  <c r="AE32" i="24"/>
  <c r="AE38" i="24"/>
  <c r="AD38" i="24"/>
  <c r="AE35" i="24"/>
  <c r="AD35" i="24"/>
  <c r="AD40" i="24"/>
  <c r="AE40" i="24"/>
  <c r="AD7" i="24"/>
  <c r="AE7" i="24"/>
  <c r="AE27" i="24"/>
  <c r="AD27" i="24"/>
  <c r="AD36" i="24"/>
  <c r="AE36" i="24"/>
  <c r="AE28" i="24"/>
  <c r="AD28" i="24"/>
  <c r="AD39" i="24"/>
  <c r="AE39" i="24"/>
  <c r="AE26" i="24"/>
  <c r="AD26" i="24"/>
  <c r="AE34" i="24"/>
  <c r="AD34" i="24"/>
  <c r="AD25" i="24"/>
  <c r="AE25" i="24"/>
  <c r="AD37" i="24"/>
  <c r="AE37" i="24"/>
  <c r="AD29" i="24"/>
  <c r="AE29" i="24"/>
  <c r="AE31" i="24"/>
  <c r="AD31" i="24"/>
  <c r="AD33" i="24"/>
  <c r="AE33" i="24"/>
  <c r="AD24" i="24"/>
  <c r="AE24" i="24"/>
  <c r="K21" i="24"/>
  <c r="K6" i="24"/>
  <c r="K20" i="24"/>
  <c r="R20" i="24"/>
  <c r="S20" i="24" s="1"/>
  <c r="T20" i="24" s="1"/>
  <c r="R13" i="24"/>
  <c r="S13" i="24" s="1"/>
  <c r="K11" i="24"/>
  <c r="K17" i="24"/>
  <c r="R17" i="24"/>
  <c r="S17" i="24" s="1"/>
  <c r="T17" i="24" s="1"/>
  <c r="R23" i="24"/>
  <c r="S23" i="24" s="1"/>
  <c r="R10" i="24"/>
  <c r="S10" i="24" s="1"/>
  <c r="T10" i="24" s="1"/>
  <c r="K10" i="24"/>
  <c r="K14" i="24"/>
  <c r="R14" i="24"/>
  <c r="S14" i="24" s="1"/>
  <c r="T14" i="24" s="1"/>
  <c r="R12" i="24"/>
  <c r="S12" i="24" s="1"/>
  <c r="K8" i="24"/>
  <c r="R15" i="24"/>
  <c r="S15" i="24" s="1"/>
  <c r="R5" i="24"/>
  <c r="S5" i="24" s="1"/>
  <c r="R18" i="24"/>
  <c r="S18" i="24" s="1"/>
  <c r="R16" i="24"/>
  <c r="S16" i="24" s="1"/>
  <c r="R9" i="24"/>
  <c r="S9" i="24" s="1"/>
  <c r="K15" i="24"/>
  <c r="R21" i="24"/>
  <c r="S21" i="24" s="1"/>
  <c r="R11" i="24"/>
  <c r="S11" i="24" s="1"/>
  <c r="R22" i="24"/>
  <c r="S22" i="24" s="1"/>
  <c r="R19" i="24"/>
  <c r="S19" i="24" s="1"/>
  <c r="U20" i="24" l="1"/>
  <c r="T15" i="24"/>
  <c r="U15" i="24"/>
  <c r="U23" i="24"/>
  <c r="T11" i="24"/>
  <c r="U11" i="24"/>
  <c r="U5" i="24"/>
  <c r="T21" i="24"/>
  <c r="U21" i="24"/>
  <c r="U10" i="24"/>
  <c r="U14" i="24"/>
  <c r="U13" i="24"/>
  <c r="U12" i="24"/>
  <c r="U17" i="24"/>
  <c r="U22" i="24"/>
  <c r="U18" i="24"/>
  <c r="U16" i="24"/>
  <c r="U9" i="24"/>
  <c r="U19" i="24"/>
  <c r="AE13" i="24" l="1"/>
  <c r="AD13" i="24"/>
  <c r="AD14" i="24"/>
  <c r="AE14" i="24"/>
  <c r="AE10" i="24"/>
  <c r="AD10" i="24"/>
  <c r="AD21" i="24"/>
  <c r="AE21" i="24"/>
  <c r="AD19" i="24"/>
  <c r="AE19" i="24"/>
  <c r="AE5" i="24"/>
  <c r="AD5" i="24"/>
  <c r="AE9" i="24"/>
  <c r="AD9" i="24"/>
  <c r="AE11" i="24"/>
  <c r="AD11" i="24"/>
  <c r="AE16" i="24"/>
  <c r="AD16" i="24"/>
  <c r="AD18" i="24"/>
  <c r="AE18" i="24"/>
  <c r="AD23" i="24"/>
  <c r="AE23" i="24"/>
  <c r="AE22" i="24"/>
  <c r="AD22" i="24"/>
  <c r="AD15" i="24"/>
  <c r="AE15" i="24"/>
  <c r="AD17" i="24"/>
  <c r="AE17" i="24"/>
  <c r="AE12" i="24"/>
  <c r="AD12" i="24"/>
  <c r="AD20" i="24"/>
  <c r="AE20" i="24"/>
  <c r="L4" i="27"/>
  <c r="L5" i="27"/>
  <c r="L6" i="27"/>
  <c r="L7" i="27"/>
  <c r="L3" i="27"/>
  <c r="K19" i="27"/>
  <c r="L19" i="27" s="1"/>
  <c r="K20" i="27"/>
  <c r="L20" i="27" s="1"/>
  <c r="K21" i="27"/>
  <c r="L21" i="27" s="1"/>
  <c r="K26" i="27"/>
  <c r="L26" i="27" s="1"/>
  <c r="K27" i="27"/>
  <c r="L27" i="27" s="1"/>
  <c r="K28" i="27"/>
  <c r="L28" i="27" s="1"/>
  <c r="K33" i="27"/>
  <c r="L33" i="27" s="1"/>
  <c r="K16" i="27"/>
  <c r="L16" i="27" s="1"/>
  <c r="K11" i="27"/>
  <c r="L11" i="27" s="1"/>
  <c r="K12" i="27"/>
  <c r="L12" i="27" s="1"/>
  <c r="K13" i="27"/>
  <c r="L13" i="27" s="1"/>
  <c r="K14" i="27"/>
  <c r="L14" i="27" s="1"/>
  <c r="K15" i="27"/>
  <c r="L15" i="27" s="1"/>
  <c r="K10" i="27"/>
  <c r="L10" i="27" s="1"/>
  <c r="K36" i="27"/>
  <c r="L36" i="27" s="1"/>
  <c r="K37" i="27"/>
  <c r="L37" i="27" s="1"/>
  <c r="K35" i="27"/>
  <c r="L35" i="27" s="1"/>
  <c r="K31" i="27"/>
  <c r="L31" i="27" s="1"/>
  <c r="K30" i="27"/>
  <c r="L30" i="27" s="1"/>
  <c r="K29" i="27"/>
  <c r="L29" i="27" s="1"/>
  <c r="K25" i="27"/>
  <c r="L25" i="27" s="1"/>
  <c r="K24" i="27"/>
  <c r="L24" i="27" s="1"/>
  <c r="K23" i="27"/>
  <c r="L23" i="27" s="1"/>
  <c r="K22" i="27"/>
  <c r="L22" i="27" s="1"/>
  <c r="K18" i="27"/>
  <c r="L18" i="27" s="1"/>
  <c r="K17" i="27"/>
  <c r="L17" i="27" s="1"/>
  <c r="K9" i="27"/>
  <c r="L9" i="27" s="1"/>
  <c r="K8" i="27"/>
  <c r="L8" i="27" s="1"/>
  <c r="K34" i="27"/>
  <c r="L34" i="27" s="1"/>
  <c r="K32" i="27"/>
  <c r="L32" i="27" s="1"/>
  <c r="T17" i="25"/>
  <c r="T16" i="25"/>
  <c r="T18" i="25" s="1"/>
  <c r="T15" i="25"/>
  <c r="T14" i="25"/>
  <c r="T13" i="25"/>
  <c r="T11" i="25"/>
  <c r="T10" i="25"/>
  <c r="T9" i="25"/>
  <c r="T8" i="25"/>
  <c r="T7" i="25"/>
  <c r="V6" i="25"/>
  <c r="V5" i="25"/>
  <c r="V4" i="25"/>
  <c r="V3" i="25"/>
  <c r="V2" i="25"/>
  <c r="V19" i="25"/>
  <c r="V21" i="25" s="1"/>
  <c r="V9" i="25"/>
  <c r="V10" i="25"/>
  <c r="V11" i="25"/>
  <c r="V8" i="25"/>
  <c r="V17" i="25"/>
  <c r="V16" i="25"/>
  <c r="V13" i="25"/>
  <c r="V14" i="25"/>
  <c r="I5" i="25"/>
  <c r="H5" i="25"/>
  <c r="G5" i="25"/>
  <c r="I4" i="25"/>
  <c r="H4" i="25"/>
  <c r="G4" i="25"/>
  <c r="I3" i="25"/>
  <c r="H3" i="25"/>
  <c r="G3" i="25"/>
  <c r="I2" i="25"/>
  <c r="H2" i="25"/>
  <c r="G2" i="25"/>
  <c r="M4" i="24"/>
  <c r="M6" i="24"/>
  <c r="M8" i="24"/>
  <c r="M30" i="24"/>
  <c r="M3" i="24"/>
  <c r="F3" i="24"/>
  <c r="I3" i="24" s="1"/>
  <c r="J3" i="24" s="1"/>
  <c r="Q3" i="24"/>
  <c r="O3" i="24"/>
  <c r="P3" i="24" s="1"/>
  <c r="N3" i="24"/>
  <c r="I30" i="24"/>
  <c r="Q8" i="24"/>
  <c r="O8" i="24"/>
  <c r="P8" i="24" s="1"/>
  <c r="N8" i="24"/>
  <c r="Q6" i="24"/>
  <c r="O6" i="24"/>
  <c r="P6" i="24" s="1"/>
  <c r="N6" i="24"/>
  <c r="Q4" i="24"/>
  <c r="O4" i="24"/>
  <c r="P4" i="24" s="1"/>
  <c r="N4" i="24"/>
  <c r="F4" i="24"/>
  <c r="I4" i="24" s="1"/>
  <c r="J4" i="24" s="1"/>
  <c r="J30" i="24" l="1"/>
  <c r="R30" i="24" s="1"/>
  <c r="S30" i="24" s="1"/>
  <c r="U30" i="24" s="1"/>
  <c r="T12" i="25"/>
  <c r="V12" i="25"/>
  <c r="V7" i="25"/>
  <c r="V15" i="25"/>
  <c r="V18" i="25"/>
  <c r="K3" i="24"/>
  <c r="K4" i="24"/>
  <c r="R3" i="24"/>
  <c r="R8" i="24"/>
  <c r="R6" i="24"/>
  <c r="R4" i="24"/>
  <c r="K30" i="24" l="1"/>
  <c r="S4" i="24"/>
  <c r="S6" i="24"/>
  <c r="U6" i="24" s="1"/>
  <c r="S8" i="24"/>
  <c r="U8" i="24" s="1"/>
  <c r="S3" i="24"/>
  <c r="AE8" i="24" l="1"/>
  <c r="AD8" i="24"/>
  <c r="AE6" i="24"/>
  <c r="AD6" i="24"/>
  <c r="T3" i="24"/>
  <c r="U3" i="24"/>
  <c r="T4" i="24"/>
  <c r="U4" i="24"/>
  <c r="T6" i="24"/>
  <c r="T8" i="24"/>
  <c r="T30" i="24"/>
  <c r="AD4" i="24" l="1"/>
  <c r="AE4" i="24"/>
  <c r="AD3" i="24"/>
  <c r="AE3" i="24"/>
  <c r="AE30" i="24"/>
  <c r="AD30" i="2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tc={EF718DA3-CF20-450A-80CC-D8813265F53F}</author>
    <author>tc={915E52AF-7BBE-4109-B72B-7A80FF941023}</author>
    <author>tc={B9EC8C0E-4F7C-40DE-A35F-5463D5D0E1A1}</author>
    <author>tc={FA3E04F2-A451-4D1B-9428-08CDD9D81733}</author>
    <author>tc={DB07CBF3-50C2-4D39-92BE-28BDEBE2C7E0}</author>
    <author>tc={5CDF5589-C543-4F2A-A6AD-06A31462CA4D}</author>
    <author>tc={53A7F57A-412A-42F2-8267-D2FCE85FC856}</author>
    <author>tc={61798D50-53EB-4C85-A85D-242E39B3C265}</author>
  </authors>
  <commentList>
    <comment ref="J2" authorId="0" shapeId="0" xr:uid="{EF718DA3-CF20-450A-80CC-D8813265F53F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수출가격(달러)*1493 (환율계산)</t>
      </text>
    </comment>
    <comment ref="N2" authorId="1" shapeId="0" xr:uid="{915E52AF-7BBE-4109-B72B-7A80FF941023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무게(g)*61
답글:
    무게는 평균 10g으로 계산</t>
      </text>
    </comment>
    <comment ref="O2" authorId="2" shapeId="0" xr:uid="{B9EC8C0E-4F7C-40DE-A35F-5463D5D0E1A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무게(g)*103</t>
      </text>
    </comment>
    <comment ref="P2" authorId="3" shapeId="0" xr:uid="{FA3E04F2-A451-4D1B-9428-08CDD9D81733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담배소비세*43.99%</t>
      </text>
    </comment>
    <comment ref="Q2" authorId="4" shapeId="0" xr:uid="{DB07CBF3-50C2-4D39-92BE-28BDEBE2C7E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무게(g)*85.8</t>
      </text>
    </comment>
    <comment ref="R2" authorId="5" shapeId="0" xr:uid="{5CDF5589-C543-4F2A-A6AD-06A31462CA4D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(물품가격+개별소비세)*10%</t>
      </text>
    </comment>
    <comment ref="X2" authorId="6" shapeId="0" xr:uid="{53A7F57A-412A-42F2-8267-D2FCE85FC856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페소*25*1.12(부가세)</t>
      </text>
    </comment>
    <comment ref="E19" authorId="7" shapeId="0" xr:uid="{61798D50-53EB-4C85-A85D-242E39B3C265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25개 박스 수출 가격 없어서 예측치 입력</t>
      </text>
    </comment>
  </commentList>
</comments>
</file>

<file path=xl/sharedStrings.xml><?xml version="1.0" encoding="utf-8"?>
<sst xmlns="http://schemas.openxmlformats.org/spreadsheetml/2006/main" count="669" uniqueCount="320">
  <si>
    <t>부가세</t>
    <phoneticPr fontId="1" type="noConversion"/>
  </si>
  <si>
    <t>합계</t>
    <phoneticPr fontId="1" type="noConversion"/>
  </si>
  <si>
    <t>수출가격</t>
    <phoneticPr fontId="1" type="noConversion"/>
  </si>
  <si>
    <t>개별소비세</t>
  </si>
  <si>
    <t>담배소비세</t>
  </si>
  <si>
    <t>지방교육세</t>
  </si>
  <si>
    <t>국민건강</t>
  </si>
  <si>
    <t>부가세</t>
  </si>
  <si>
    <t>상품명</t>
    <phoneticPr fontId="1" type="noConversion"/>
  </si>
  <si>
    <t>DON JUAN URQUIJO VINTAGE BLEND</t>
    <phoneticPr fontId="1" type="noConversion"/>
  </si>
  <si>
    <t>CORONAS</t>
  </si>
  <si>
    <t>ROBUSTO</t>
  </si>
  <si>
    <t>PYRAMID</t>
  </si>
  <si>
    <t>CHURCHILL</t>
  </si>
  <si>
    <t>HALF CORONAS</t>
  </si>
  <si>
    <t>PANETELAS</t>
  </si>
  <si>
    <t>PACK OF 5</t>
    <phoneticPr fontId="1" type="noConversion"/>
  </si>
  <si>
    <t>BOX OF 5</t>
    <phoneticPr fontId="1" type="noConversion"/>
  </si>
  <si>
    <t xml:space="preserve"> BOX OF 25</t>
    <phoneticPr fontId="1" type="noConversion"/>
  </si>
  <si>
    <t>CIGARILLOS</t>
  </si>
  <si>
    <t>PACK OF 20</t>
  </si>
  <si>
    <t>옵션</t>
    <phoneticPr fontId="1" type="noConversion"/>
  </si>
  <si>
    <t>DON JUAN URQUIJO 2O° ANIVERSARIO</t>
    <phoneticPr fontId="1" type="noConversion"/>
  </si>
  <si>
    <t>CORONA</t>
    <phoneticPr fontId="1" type="noConversion"/>
  </si>
  <si>
    <t>TORO</t>
    <phoneticPr fontId="1" type="noConversion"/>
  </si>
  <si>
    <t>ROBUSTO</t>
    <phoneticPr fontId="1" type="noConversion"/>
  </si>
  <si>
    <t>BOX OF 10</t>
    <phoneticPr fontId="1" type="noConversion"/>
  </si>
  <si>
    <t>TORPEDO</t>
    <phoneticPr fontId="1" type="noConversion"/>
  </si>
  <si>
    <t>TRADITIONALES</t>
    <phoneticPr fontId="1" type="noConversion"/>
  </si>
  <si>
    <t>1881 PERIQUE</t>
    <phoneticPr fontId="1" type="noConversion"/>
  </si>
  <si>
    <t>TORPEDITO</t>
    <phoneticPr fontId="1" type="noConversion"/>
  </si>
  <si>
    <t>1881 PERIQUE MADURO</t>
    <phoneticPr fontId="1" type="noConversion"/>
  </si>
  <si>
    <t>SHORT ROBUSTO</t>
    <phoneticPr fontId="1" type="noConversion"/>
  </si>
  <si>
    <t>1881 PERIQUE BOLD MADURO</t>
    <phoneticPr fontId="1" type="noConversion"/>
  </si>
  <si>
    <t>TABACALERA</t>
    <phoneticPr fontId="1" type="noConversion"/>
  </si>
  <si>
    <t>CORONAS LARGAS</t>
    <phoneticPr fontId="1" type="noConversion"/>
  </si>
  <si>
    <t>DOUBLE CORONA</t>
    <phoneticPr fontId="1" type="noConversion"/>
  </si>
  <si>
    <t>CORONAS SUMATRA</t>
    <phoneticPr fontId="1" type="noConversion"/>
  </si>
  <si>
    <t>EL CONDE SR.</t>
    <phoneticPr fontId="1" type="noConversion"/>
  </si>
  <si>
    <t>CORTADOS</t>
    <phoneticPr fontId="1" type="noConversion"/>
  </si>
  <si>
    <t>ISABELA</t>
    <phoneticPr fontId="1" type="noConversion"/>
  </si>
  <si>
    <t>BREVAS</t>
    <phoneticPr fontId="1" type="noConversion"/>
  </si>
  <si>
    <t>LONDRES GRANDES</t>
    <phoneticPr fontId="1" type="noConversion"/>
  </si>
  <si>
    <t>HALF CORONAS</t>
    <phoneticPr fontId="1" type="noConversion"/>
  </si>
  <si>
    <t>PACK OF 3</t>
    <phoneticPr fontId="1" type="noConversion"/>
  </si>
  <si>
    <t>CIGARILLOS</t>
    <phoneticPr fontId="1" type="noConversion"/>
  </si>
  <si>
    <t>PANETELAS</t>
    <phoneticPr fontId="1" type="noConversion"/>
  </si>
  <si>
    <t>TABACALERA EDICION MADURO</t>
    <phoneticPr fontId="1" type="noConversion"/>
  </si>
  <si>
    <t>SAMPLERS</t>
    <phoneticPr fontId="1" type="noConversion"/>
  </si>
  <si>
    <t>FLOR FINA CAPRICHOS</t>
  </si>
  <si>
    <t>REGULAR CAPRICHOS</t>
    <phoneticPr fontId="1" type="noConversion"/>
  </si>
  <si>
    <t>CHOCOLATE</t>
    <phoneticPr fontId="1" type="noConversion"/>
  </si>
  <si>
    <t>COFFEE</t>
    <phoneticPr fontId="1" type="noConversion"/>
  </si>
  <si>
    <t>VANILLA</t>
    <phoneticPr fontId="1" type="noConversion"/>
  </si>
  <si>
    <t>CALIXTO LOPEZ</t>
    <phoneticPr fontId="1" type="noConversion"/>
  </si>
  <si>
    <t>Extra Finos Nobles</t>
    <phoneticPr fontId="1" type="noConversion"/>
  </si>
  <si>
    <t>PACK OF 10</t>
    <phoneticPr fontId="1" type="noConversion"/>
  </si>
  <si>
    <t>ALHAMBRA</t>
    <phoneticPr fontId="1" type="noConversion"/>
  </si>
  <si>
    <t xml:space="preserve"> CORONAS
 SUMATRA 7</t>
    <phoneticPr fontId="1" type="noConversion"/>
  </si>
  <si>
    <t>VEGAS</t>
    <phoneticPr fontId="1" type="noConversion"/>
  </si>
  <si>
    <t xml:space="preserve"> BOX OF 50</t>
    <phoneticPr fontId="1" type="noConversion"/>
  </si>
  <si>
    <r>
      <t>한국세금</t>
    </r>
    <r>
      <rPr>
        <b/>
        <sz val="6"/>
        <color theme="1"/>
        <rFont val="맑은 고딕"/>
        <family val="3"/>
        <charset val="129"/>
        <scheme val="minor"/>
      </rPr>
      <t>(KRW)</t>
    </r>
    <phoneticPr fontId="1" type="noConversion"/>
  </si>
  <si>
    <t>무게</t>
    <phoneticPr fontId="1" type="noConversion"/>
  </si>
  <si>
    <t xml:space="preserve"> 1881 PERIQUE BOLD</t>
    <phoneticPr fontId="1" type="noConversion"/>
  </si>
  <si>
    <t xml:space="preserve"> SHORT ROBUSTO</t>
    <phoneticPr fontId="1" type="noConversion"/>
  </si>
  <si>
    <r>
      <t>수출가격</t>
    </r>
    <r>
      <rPr>
        <b/>
        <sz val="6"/>
        <color theme="1"/>
        <rFont val="맑은 고딕"/>
        <family val="3"/>
        <charset val="129"/>
        <scheme val="minor"/>
      </rPr>
      <t>($/unit)</t>
    </r>
    <phoneticPr fontId="1" type="noConversion"/>
  </si>
  <si>
    <t>ⓞALHAMBRA - CORONAS</t>
    <phoneticPr fontId="1" type="noConversion"/>
  </si>
  <si>
    <t>ⓞ1881 - CORONAS</t>
    <phoneticPr fontId="1" type="noConversion"/>
  </si>
  <si>
    <t>ⓞDON JUAN URQUIJO VINTAGE BLEND – CORONAS</t>
    <phoneticPr fontId="1" type="noConversion"/>
  </si>
  <si>
    <t>ⓞTABACALERA EDICION MADURO – CORONAS</t>
    <phoneticPr fontId="1" type="noConversion"/>
  </si>
  <si>
    <r>
      <t>할인가</t>
    </r>
    <r>
      <rPr>
        <b/>
        <sz val="6"/>
        <color theme="0"/>
        <rFont val="맑은 고딕"/>
        <family val="3"/>
        <charset val="129"/>
        <scheme val="minor"/>
      </rPr>
      <t>($)</t>
    </r>
    <phoneticPr fontId="1" type="noConversion"/>
  </si>
  <si>
    <t>②ⓞDON JUAN URQUIJO 20° ANIVERSARIO - CORONAS</t>
    <phoneticPr fontId="1" type="noConversion"/>
  </si>
  <si>
    <t>1881</t>
    <phoneticPr fontId="1" type="noConversion"/>
  </si>
  <si>
    <t>1881 PERIQUE BOLD</t>
    <phoneticPr fontId="1" type="noConversion"/>
  </si>
  <si>
    <r>
      <t>한국 원가</t>
    </r>
    <r>
      <rPr>
        <b/>
        <sz val="6"/>
        <color theme="0"/>
        <rFont val="맑은 고딕"/>
        <family val="3"/>
        <charset val="129"/>
        <scheme val="minor"/>
      </rPr>
      <t>(KRW)</t>
    </r>
    <phoneticPr fontId="1" type="noConversion"/>
  </si>
  <si>
    <t>수입개수</t>
    <phoneticPr fontId="1" type="noConversion"/>
  </si>
  <si>
    <t>원가</t>
    <phoneticPr fontId="1" type="noConversion"/>
  </si>
  <si>
    <r>
      <t>박스수출원가</t>
    </r>
    <r>
      <rPr>
        <b/>
        <sz val="6"/>
        <rFont val="맑은 고딕"/>
        <family val="3"/>
        <charset val="129"/>
        <scheme val="minor"/>
      </rPr>
      <t>($)</t>
    </r>
    <phoneticPr fontId="1" type="noConversion"/>
  </si>
  <si>
    <t>개수</t>
    <phoneticPr fontId="1" type="noConversion"/>
  </si>
  <si>
    <t>Cigarillo</t>
    <phoneticPr fontId="1" type="noConversion"/>
  </si>
  <si>
    <t>세금합계</t>
    <phoneticPr fontId="1" type="noConversion"/>
  </si>
  <si>
    <t>세금합계
(총합계)</t>
    <phoneticPr fontId="1" type="noConversion"/>
  </si>
  <si>
    <t>전체무게</t>
    <phoneticPr fontId="1" type="noConversion"/>
  </si>
  <si>
    <t>AS-IS</t>
    <phoneticPr fontId="1" type="noConversion"/>
  </si>
  <si>
    <t>TO-BE</t>
    <phoneticPr fontId="1" type="noConversion"/>
  </si>
  <si>
    <t>판매금액</t>
    <phoneticPr fontId="1" type="noConversion"/>
  </si>
  <si>
    <t>코로나 샘플러</t>
    <phoneticPr fontId="1" type="noConversion"/>
  </si>
  <si>
    <t>클래식 기프트 패키지</t>
    <phoneticPr fontId="1" type="noConversion"/>
  </si>
  <si>
    <t>프리미엄 기프트 패키지</t>
    <phoneticPr fontId="1" type="noConversion"/>
  </si>
  <si>
    <t>기프트 패키지</t>
    <phoneticPr fontId="1" type="noConversion"/>
  </si>
  <si>
    <t>합계(20%할인)</t>
    <phoneticPr fontId="1" type="noConversion"/>
  </si>
  <si>
    <t>패키지 이름</t>
    <phoneticPr fontId="1" type="noConversion"/>
  </si>
  <si>
    <t>소비자가</t>
    <phoneticPr fontId="1" type="noConversion"/>
  </si>
  <si>
    <t>옵션 없음</t>
    <phoneticPr fontId="1" type="noConversion"/>
  </si>
  <si>
    <t>세트가격</t>
    <phoneticPr fontId="1" type="noConversion"/>
  </si>
  <si>
    <t>리미티드 기프트 패키지</t>
    <phoneticPr fontId="1" type="noConversion"/>
  </si>
  <si>
    <t>옵션
타바칼레라커터
=&gt; + 30,000</t>
    <phoneticPr fontId="1" type="noConversion"/>
  </si>
  <si>
    <t>Flavor</t>
    <phoneticPr fontId="1" type="noConversion"/>
  </si>
  <si>
    <t>Strength</t>
    <phoneticPr fontId="1" type="noConversion"/>
  </si>
  <si>
    <t>Length</t>
    <phoneticPr fontId="1" type="noConversion"/>
  </si>
  <si>
    <t>RG</t>
    <phoneticPr fontId="1" type="noConversion"/>
  </si>
  <si>
    <t>Time</t>
    <phoneticPr fontId="1" type="noConversion"/>
  </si>
  <si>
    <t>FLORFINA(Puritos)</t>
    <phoneticPr fontId="1" type="noConversion"/>
  </si>
  <si>
    <t>FLORFINA(Chocolate)</t>
    <phoneticPr fontId="1" type="noConversion"/>
  </si>
  <si>
    <t>FLORFINA(Caramel)</t>
    <phoneticPr fontId="1" type="noConversion"/>
  </si>
  <si>
    <t>FLORFINA(Café Creme)</t>
    <phoneticPr fontId="1" type="noConversion"/>
  </si>
  <si>
    <t>FLORFINA(Vanila)</t>
    <phoneticPr fontId="1" type="noConversion"/>
  </si>
  <si>
    <t>DON JUAN URQUIJO 20° ANIVERSARIO</t>
    <phoneticPr fontId="1" type="noConversion"/>
  </si>
  <si>
    <t>TABACALERA GRAN RESERVA</t>
    <phoneticPr fontId="1" type="noConversion"/>
  </si>
  <si>
    <t>15–20 mins</t>
    <phoneticPr fontId="1" type="noConversion"/>
  </si>
  <si>
    <t>20–25 mins</t>
    <phoneticPr fontId="1" type="noConversion"/>
  </si>
  <si>
    <t>40–45 mins</t>
    <phoneticPr fontId="1" type="noConversion"/>
  </si>
  <si>
    <t>45–55 mins</t>
    <phoneticPr fontId="1" type="noConversion"/>
  </si>
  <si>
    <t>40–50 mins</t>
    <phoneticPr fontId="1" type="noConversion"/>
  </si>
  <si>
    <t>128 mm</t>
    <phoneticPr fontId="1" type="noConversion"/>
  </si>
  <si>
    <t>100 mm</t>
    <phoneticPr fontId="1" type="noConversion"/>
  </si>
  <si>
    <t>140 mm</t>
    <phoneticPr fontId="1" type="noConversion"/>
  </si>
  <si>
    <t>102 mm</t>
    <phoneticPr fontId="1" type="noConversion"/>
  </si>
  <si>
    <t>25–30 mins</t>
    <phoneticPr fontId="1" type="noConversion"/>
  </si>
  <si>
    <t>152 mm</t>
    <phoneticPr fontId="1" type="noConversion"/>
  </si>
  <si>
    <t>50–60 mins</t>
    <phoneticPr fontId="1" type="noConversion"/>
  </si>
  <si>
    <t>Woody, Moss, Herbal</t>
    <phoneticPr fontId="1" type="noConversion"/>
  </si>
  <si>
    <t>●●○○○</t>
    <phoneticPr fontId="1" type="noConversion"/>
  </si>
  <si>
    <t>Smooth Coffee, Chocolate</t>
    <phoneticPr fontId="1" type="noConversion"/>
  </si>
  <si>
    <t>●●●○○</t>
    <phoneticPr fontId="1" type="noConversion"/>
  </si>
  <si>
    <t>사이즈</t>
    <phoneticPr fontId="1" type="noConversion"/>
  </si>
  <si>
    <t>초심자용, 가볍고 숲 향 중심</t>
    <phoneticPr fontId="1" type="noConversion"/>
  </si>
  <si>
    <t>Guide</t>
    <phoneticPr fontId="1" type="noConversion"/>
  </si>
  <si>
    <t>Vanilla Cream, Cedar</t>
    <phoneticPr fontId="1" type="noConversion"/>
  </si>
  <si>
    <t>Milk Chocolate, Light Spice</t>
    <phoneticPr fontId="1" type="noConversion"/>
  </si>
  <si>
    <t>디저트 시가 스타일</t>
    <phoneticPr fontId="1" type="noConversion"/>
  </si>
  <si>
    <t>Caramel, Creamy Sweetness</t>
    <phoneticPr fontId="1" type="noConversion"/>
  </si>
  <si>
    <t>Cedar, Spice → Nutty, Herbal → Coffee, Cocoa</t>
    <phoneticPr fontId="1" type="noConversion"/>
  </si>
  <si>
    <t>Cedar, Spice → Nutty → Cocoa Finish</t>
    <phoneticPr fontId="1" type="noConversion"/>
  </si>
  <si>
    <t>Honey, Cedar → Nutty, Toffee → Light Coffee</t>
    <phoneticPr fontId="1" type="noConversion"/>
  </si>
  <si>
    <t>Honeyed Cedar, Toffee → Cocoa</t>
    <phoneticPr fontId="1" type="noConversion"/>
  </si>
  <si>
    <t>Spice, Cedar → Nutty, Cocoa → Dark Coffee, Oak</t>
    <phoneticPr fontId="1" type="noConversion"/>
  </si>
  <si>
    <t>●●●●○</t>
    <phoneticPr fontId="1" type="noConversion"/>
  </si>
  <si>
    <t>Cedar, Spice → Cocoa → Oak Finish</t>
    <phoneticPr fontId="1" type="noConversion"/>
  </si>
  <si>
    <t>Rich Cedar, Cocoa, Oak</t>
    <phoneticPr fontId="1" type="noConversion"/>
  </si>
  <si>
    <t>●●●●●</t>
    <phoneticPr fontId="1" type="noConversion"/>
  </si>
  <si>
    <t>Cedar, Herbal, Pepper → Nutty Toast → Dark Chocolate, Spice</t>
    <phoneticPr fontId="1" type="noConversion"/>
  </si>
  <si>
    <t>Dark Chocolate, Molasses → Espresso, Spice → Cocoa, Brown Sugar</t>
    <phoneticPr fontId="1" type="noConversion"/>
  </si>
  <si>
    <t>Dark Cocoa, Espresso, Sweet Maduro</t>
    <phoneticPr fontId="1" type="noConversion"/>
  </si>
  <si>
    <t>Cedar, Pepper → Nutty, Herbal → Coffee, Spice</t>
    <phoneticPr fontId="1" type="noConversion"/>
  </si>
  <si>
    <t>Dark Chocolate, Spice → Espresso → Cocoa, Dried Fruit</t>
    <phoneticPr fontId="1" type="noConversion"/>
  </si>
  <si>
    <t>Spice, Cedar → Toast, Nutty → Cocoa, Espresso</t>
    <phoneticPr fontId="1" type="noConversion"/>
  </si>
  <si>
    <t>Dark Cocoa, Spice → Espresso → Sweet Cocoa Finish</t>
    <phoneticPr fontId="1" type="noConversion"/>
  </si>
  <si>
    <t>Spice, Dark Chocolate → Espresso, Brown Sugar → Cocoa</t>
    <phoneticPr fontId="1" type="noConversion"/>
  </si>
  <si>
    <t>Herbal, Grassy, Subtle Cocoa → Cocoa, Coffee → Dark Coffee, Chocolate</t>
    <phoneticPr fontId="1" type="noConversion"/>
  </si>
  <si>
    <t>하이엔드 프리미엄 라인</t>
    <phoneticPr fontId="1" type="noConversion"/>
  </si>
  <si>
    <t>달콤한 향 선호 고객</t>
    <phoneticPr fontId="1" type="noConversion"/>
  </si>
  <si>
    <t>부드럽고 깔끔한 풍미 선호 고객층</t>
    <phoneticPr fontId="1" type="noConversion"/>
  </si>
  <si>
    <t>부드럽고 달콤한 마일드 시가. JFK시가</t>
    <phoneticPr fontId="1" type="noConversion"/>
  </si>
  <si>
    <t>숙련자용, 깊은 클래식 풍미</t>
    <phoneticPr fontId="1" type="noConversion"/>
  </si>
  <si>
    <t>균형 잡힌 클래식 시가</t>
    <phoneticPr fontId="1" type="noConversion"/>
  </si>
  <si>
    <t>마두로 강한 풍미 선호 고객</t>
    <phoneticPr fontId="1" type="noConversion"/>
  </si>
  <si>
    <t>입문~숙련자 모두 적합</t>
    <phoneticPr fontId="1" type="noConversion"/>
  </si>
  <si>
    <t>강한 풍미 선호 고객</t>
    <phoneticPr fontId="1" type="noConversion"/>
  </si>
  <si>
    <t>커피와 함께 즐기기 좋은 데일리 시가</t>
    <phoneticPr fontId="1" type="noConversion"/>
  </si>
  <si>
    <t>달콤·부드러운 아로마 선호 고객</t>
    <phoneticPr fontId="1" type="noConversion"/>
  </si>
  <si>
    <t>Traditional</t>
    <phoneticPr fontId="1" type="noConversion"/>
  </si>
  <si>
    <t>190 mm</t>
    <phoneticPr fontId="1" type="noConversion"/>
  </si>
  <si>
    <t>155 mm</t>
    <phoneticPr fontId="1" type="noConversion"/>
  </si>
  <si>
    <t>품절</t>
    <phoneticPr fontId="1" type="noConversion"/>
  </si>
  <si>
    <t>Panetelas</t>
    <phoneticPr fontId="1" type="noConversion"/>
  </si>
  <si>
    <t>120 mm</t>
    <phoneticPr fontId="1" type="noConversion"/>
  </si>
  <si>
    <t>Coronas Largas</t>
    <phoneticPr fontId="1" type="noConversion"/>
  </si>
  <si>
    <t>175 mm</t>
    <phoneticPr fontId="1" type="noConversion"/>
  </si>
  <si>
    <t>Brevas</t>
    <phoneticPr fontId="1" type="noConversion"/>
  </si>
  <si>
    <t>135 mm</t>
    <phoneticPr fontId="1" type="noConversion"/>
  </si>
  <si>
    <t>Isabela</t>
    <phoneticPr fontId="1" type="noConversion"/>
  </si>
  <si>
    <t>150 mm</t>
    <phoneticPr fontId="1" type="noConversion"/>
  </si>
  <si>
    <t>Coronas Sumatra</t>
    <phoneticPr fontId="1" type="noConversion"/>
  </si>
  <si>
    <t>수입여부</t>
    <phoneticPr fontId="1" type="noConversion"/>
  </si>
  <si>
    <t>O</t>
    <phoneticPr fontId="1" type="noConversion"/>
  </si>
  <si>
    <t>115 mm</t>
    <phoneticPr fontId="1" type="noConversion"/>
  </si>
  <si>
    <t>178 mm</t>
    <phoneticPr fontId="1" type="noConversion"/>
  </si>
  <si>
    <t>Vegas</t>
    <phoneticPr fontId="1" type="noConversion"/>
  </si>
  <si>
    <t>95 mm</t>
    <phoneticPr fontId="1" type="noConversion"/>
  </si>
  <si>
    <t>Unit(원)</t>
    <phoneticPr fontId="1" type="noConversion"/>
  </si>
  <si>
    <t>현지가격</t>
    <phoneticPr fontId="1" type="noConversion"/>
  </si>
  <si>
    <t>Box(페소)</t>
    <phoneticPr fontId="1" type="noConversion"/>
  </si>
  <si>
    <t>Unit(페소)</t>
    <phoneticPr fontId="1" type="noConversion"/>
  </si>
  <si>
    <t>Box(달러)</t>
    <phoneticPr fontId="1" type="noConversion"/>
  </si>
  <si>
    <t>소비자가격</t>
    <phoneticPr fontId="1" type="noConversion"/>
  </si>
  <si>
    <t>공급 가격</t>
    <phoneticPr fontId="1" type="noConversion"/>
  </si>
  <si>
    <t>금     액</t>
  </si>
  <si>
    <t>마진</t>
    <phoneticPr fontId="1" type="noConversion"/>
  </si>
  <si>
    <t>제품명</t>
    <phoneticPr fontId="1" type="noConversion"/>
  </si>
  <si>
    <t>ⓞHALF CORONAS</t>
    <phoneticPr fontId="1" type="noConversion"/>
  </si>
  <si>
    <t>ⓞROBUSTO</t>
    <phoneticPr fontId="1" type="noConversion"/>
  </si>
  <si>
    <t>ⓞCORONAS</t>
    <phoneticPr fontId="1" type="noConversion"/>
  </si>
  <si>
    <t>ⓞSHORT ROBUSTO</t>
    <phoneticPr fontId="1" type="noConversion"/>
  </si>
  <si>
    <t>-</t>
    <phoneticPr fontId="1" type="noConversion"/>
  </si>
  <si>
    <t>선정제품</t>
    <phoneticPr fontId="1" type="noConversion"/>
  </si>
  <si>
    <t>CORONAS</t>
    <phoneticPr fontId="1" type="noConversion"/>
  </si>
  <si>
    <t>CORONAS SUMATRA 7</t>
    <phoneticPr fontId="1" type="noConversion"/>
  </si>
  <si>
    <t>CHURCHILL</t>
    <phoneticPr fontId="1" type="noConversion"/>
  </si>
  <si>
    <t>PYRAMID</t>
    <phoneticPr fontId="1" type="noConversion"/>
  </si>
  <si>
    <t>판매가격</t>
    <phoneticPr fontId="1" type="noConversion"/>
  </si>
  <si>
    <t>소매이익률</t>
    <phoneticPr fontId="1" type="noConversion"/>
  </si>
  <si>
    <t>도매이익률</t>
    <phoneticPr fontId="1" type="noConversion"/>
  </si>
  <si>
    <t>이익률</t>
    <phoneticPr fontId="1" type="noConversion"/>
  </si>
  <si>
    <r>
      <t>Box</t>
    </r>
    <r>
      <rPr>
        <b/>
        <sz val="6"/>
        <rFont val="맑은 고딕"/>
        <family val="3"/>
        <charset val="129"/>
        <scheme val="minor"/>
      </rPr>
      <t>(페소)</t>
    </r>
    <phoneticPr fontId="1" type="noConversion"/>
  </si>
  <si>
    <r>
      <t>Unit</t>
    </r>
    <r>
      <rPr>
        <b/>
        <sz val="6"/>
        <rFont val="맑은 고딕"/>
        <family val="3"/>
        <charset val="129"/>
        <scheme val="minor"/>
      </rPr>
      <t>(페소)</t>
    </r>
    <phoneticPr fontId="1" type="noConversion"/>
  </si>
  <si>
    <r>
      <t>Unit</t>
    </r>
    <r>
      <rPr>
        <b/>
        <sz val="6"/>
        <rFont val="맑은 고딕"/>
        <family val="3"/>
        <charset val="129"/>
        <scheme val="minor"/>
      </rPr>
      <t>(KRW)</t>
    </r>
    <phoneticPr fontId="1" type="noConversion"/>
  </si>
  <si>
    <t>President Edition - JFK &amp; Fidel Ramos</t>
    <phoneticPr fontId="1" type="noConversion"/>
  </si>
  <si>
    <t>TABACALERA - ROBUSTO 2스틱</t>
  </si>
  <si>
    <t>ALHAMBRA - ROBUSTO 2스틱</t>
  </si>
  <si>
    <t>1881 - CORONAS  2스틱</t>
  </si>
  <si>
    <t>DON JUAN URQUIJO 20° ANIVERSARIO - ROBUSTO 2스틱</t>
  </si>
  <si>
    <t>DON JUAN URQUIJO 20° ANIVERSARIO - ROBUSTO 3스틱</t>
  </si>
  <si>
    <t>TABACALERA EDICION MADURO – ROBUSTO 4스틱</t>
  </si>
  <si>
    <t>1881 PERIQUE BOLD – TORPEDO 3스틱</t>
  </si>
  <si>
    <t>Tabacalera Gran Reserva - ROBUSTO 4스틱</t>
  </si>
  <si>
    <t>ALHAMBRA - ROBUSTO 5스틱</t>
  </si>
  <si>
    <t>Tabacalera Gran Reserva - ROBUSTO 5스틱</t>
  </si>
  <si>
    <t>상품명</t>
  </si>
  <si>
    <t>Flavor</t>
  </si>
  <si>
    <t>Strength</t>
  </si>
  <si>
    <t>Length</t>
  </si>
  <si>
    <t>RG</t>
  </si>
  <si>
    <t>Time</t>
  </si>
  <si>
    <t>Guide</t>
  </si>
  <si>
    <t>TABACALERA</t>
  </si>
  <si>
    <t>Cedar, Spice → Floral, Herbal → Coffee, Cocoa</t>
  </si>
  <si>
    <t>●●○○○</t>
  </si>
  <si>
    <t>100 mm</t>
  </si>
  <si>
    <t>20–25 mins</t>
  </si>
  <si>
    <t>마닐라 시가. 달콤·스파이시하며 플로럴 노트. 입문자~중급자</t>
  </si>
  <si>
    <t>ALHAMBRA</t>
  </si>
  <si>
    <t>Honey, Cedar → Nutty, Toffee → Light Coffee</t>
  </si>
  <si>
    <t>140 mm</t>
  </si>
  <si>
    <t>40–45 mins</t>
  </si>
  <si>
    <t>가볍고 달콤. JFK가 즐긴 시가. 부담 없는 애프터눈 시가</t>
  </si>
  <si>
    <t>DON JUAN URQUIJO 20° ANIVERSARIO</t>
  </si>
  <si>
    <t>Cream, Citrus, Spice → Nutty, Cocoa → Dark Coffee, Oak</t>
  </si>
  <si>
    <t>●●●●○</t>
  </si>
  <si>
    <t>"완벽한 모닝 시가". 크리미·스파이시. 숙련자용 한정판</t>
  </si>
  <si>
    <t>DON JUAN URQUIJO VINTAGE BLEND</t>
  </si>
  <si>
    <t>Cedar, Herbal, Pepper → Nutty Toast → Dark Chocolate, Spice</t>
  </si>
  <si>
    <t>●●●○○</t>
  </si>
  <si>
    <t>"완벽한 모닝 시가". 버터리한 연무, 크리미·시트러스. 균형 잡힌 클래식</t>
  </si>
  <si>
    <t>TABACALERA EDICION MADURO</t>
  </si>
  <si>
    <t>Dark Chocolate, Molasses → Espresso, Spice → Cocoa, Brown Sugar</t>
  </si>
  <si>
    <t>마두로 래퍼. 강렬한 로스티드 노트. 마두로 풍미 선호 고객</t>
  </si>
  <si>
    <t>Cedar, Pepper → Nutty, Herbal → Coffee, Spice</t>
  </si>
  <si>
    <t>균일한 연소, 부드러운 드로우. 데일리 시가. 입문~숙련자 모두 적합</t>
  </si>
  <si>
    <t>1881 PERIQUE BOLD</t>
  </si>
  <si>
    <t>Pepper, Oak, Fruit → Coffee, Cocoa, Toast → Spice, Black Pepper</t>
  </si>
  <si>
    <t>●●●●●</t>
  </si>
  <si>
    <t>128 mm</t>
  </si>
  <si>
    <t>45–55 mins</t>
  </si>
  <si>
    <t>페리크 잎 블렌드. 강렬한 페퍼·스파이스. 강한 풍미 선호 숙련자</t>
  </si>
  <si>
    <t>1881 PERIQUE MADURO</t>
  </si>
  <si>
    <t>Dark Chocolate, Spice → Espresso → Cocoa, Dried Fruit</t>
  </si>
  <si>
    <t>102 mm</t>
  </si>
  <si>
    <t>25–30 mins</t>
  </si>
  <si>
    <t>페리크 + 마두로 래퍼. 깊고 농후한 달콤함. 마두로 강한 풍미 선호 고객</t>
  </si>
  <si>
    <t>1881 PERIQUE BOLD MADURO</t>
  </si>
  <si>
    <t>Spice, Dark Chocolate → Espresso, Brown Sugar → Cocoa</t>
  </si>
  <si>
    <t>페리크 + 마두로. 풀바디 균형 블렌드. 강한 풍미 최상급 선호 고객</t>
  </si>
  <si>
    <t>TABACALERA GRAN RESERVA</t>
  </si>
  <si>
    <t>Herbal, Grassy, Subtle Cocoa → Cocoa, Coffee → Dark Coffee, Chocolate</t>
  </si>
  <si>
    <t>30년+ 이사벨라산 + 25년+ 도미니카산. 가장 복합적인 풍미. 하이엔드 프리미엄</t>
  </si>
  <si>
    <t>TORPEDITO</t>
  </si>
  <si>
    <t>TORPEDO</t>
  </si>
  <si>
    <t>TORO</t>
  </si>
  <si>
    <t xml:space="preserve"> SHORT ROBUSTO</t>
  </si>
  <si>
    <t>SHORT ROBUSTO</t>
  </si>
  <si>
    <r>
      <t>수입원가</t>
    </r>
    <r>
      <rPr>
        <b/>
        <sz val="6"/>
        <color theme="0"/>
        <rFont val="맑은 고딕"/>
        <family val="3"/>
        <charset val="129"/>
        <scheme val="minor"/>
      </rPr>
      <t>(KRW)</t>
    </r>
    <phoneticPr fontId="1" type="noConversion"/>
  </si>
  <si>
    <t>수입가격합계</t>
    <phoneticPr fontId="1" type="noConversion"/>
  </si>
  <si>
    <t>(매장)소비자가격</t>
    <phoneticPr fontId="1" type="noConversion"/>
  </si>
  <si>
    <t>FLORFINA(PURITOS)</t>
    <phoneticPr fontId="1" type="noConversion"/>
  </si>
  <si>
    <t>CIGARILLO</t>
    <phoneticPr fontId="1" type="noConversion"/>
  </si>
  <si>
    <t>코드</t>
    <phoneticPr fontId="1" type="noConversion"/>
  </si>
  <si>
    <t>버전</t>
    <phoneticPr fontId="1" type="noConversion"/>
  </si>
  <si>
    <t>TABFF(PURITOS)</t>
    <phoneticPr fontId="1" type="noConversion"/>
  </si>
  <si>
    <t>2025V1.0</t>
    <phoneticPr fontId="1" type="noConversion"/>
  </si>
  <si>
    <t>2026V0.1</t>
    <phoneticPr fontId="1" type="noConversion"/>
  </si>
  <si>
    <t>TAB(HC)</t>
    <phoneticPr fontId="1" type="noConversion"/>
  </si>
  <si>
    <t>TAB(R)</t>
    <phoneticPr fontId="1" type="noConversion"/>
  </si>
  <si>
    <t>TAB(C)</t>
    <phoneticPr fontId="1" type="noConversion"/>
  </si>
  <si>
    <t>TAB(P)</t>
  </si>
  <si>
    <t>ALH(C)</t>
  </si>
  <si>
    <t>ALH(CS7)</t>
    <phoneticPr fontId="1" type="noConversion"/>
  </si>
  <si>
    <t>ALH(R)</t>
  </si>
  <si>
    <t>1881(C)</t>
    <phoneticPr fontId="1" type="noConversion"/>
  </si>
  <si>
    <t>1881(R)</t>
    <phoneticPr fontId="1" type="noConversion"/>
  </si>
  <si>
    <t>1881(TP)</t>
    <phoneticPr fontId="1" type="noConversion"/>
  </si>
  <si>
    <t>DJUA(C)</t>
    <phoneticPr fontId="1" type="noConversion"/>
  </si>
  <si>
    <t>DJUA(R)</t>
    <phoneticPr fontId="1" type="noConversion"/>
  </si>
  <si>
    <t>DJUA(T)</t>
    <phoneticPr fontId="1" type="noConversion"/>
  </si>
  <si>
    <t>DJU(C)</t>
    <phoneticPr fontId="1" type="noConversion"/>
  </si>
  <si>
    <t>DJU(CC)</t>
    <phoneticPr fontId="1" type="noConversion"/>
  </si>
  <si>
    <t>DJU(P)</t>
    <phoneticPr fontId="1" type="noConversion"/>
  </si>
  <si>
    <t>TABE(C)</t>
    <phoneticPr fontId="1" type="noConversion"/>
  </si>
  <si>
    <t>TABE(R)</t>
    <phoneticPr fontId="1" type="noConversion"/>
  </si>
  <si>
    <t>TABE(T)</t>
    <phoneticPr fontId="1" type="noConversion"/>
  </si>
  <si>
    <t>TABE(P)</t>
    <phoneticPr fontId="1" type="noConversion"/>
  </si>
  <si>
    <t>1881P(C)</t>
    <phoneticPr fontId="1" type="noConversion"/>
  </si>
  <si>
    <t>1881P(R)</t>
    <phoneticPr fontId="1" type="noConversion"/>
  </si>
  <si>
    <t>1881P(TD)</t>
    <phoneticPr fontId="1" type="noConversion"/>
  </si>
  <si>
    <t>1881P(TP)</t>
    <phoneticPr fontId="1" type="noConversion"/>
  </si>
  <si>
    <t>1881P(T)</t>
    <phoneticPr fontId="1" type="noConversion"/>
  </si>
  <si>
    <t>1881PM(R)</t>
    <phoneticPr fontId="1" type="noConversion"/>
  </si>
  <si>
    <t>1881PM(SR)</t>
    <phoneticPr fontId="1" type="noConversion"/>
  </si>
  <si>
    <t>1881PM(TP)</t>
    <phoneticPr fontId="1" type="noConversion"/>
  </si>
  <si>
    <t>1881PM(TD)</t>
    <phoneticPr fontId="1" type="noConversion"/>
  </si>
  <si>
    <t>1881PM(T)</t>
    <phoneticPr fontId="1" type="noConversion"/>
  </si>
  <si>
    <t>1881PB(R)</t>
    <phoneticPr fontId="1" type="noConversion"/>
  </si>
  <si>
    <t>1881PB(TP)</t>
    <phoneticPr fontId="1" type="noConversion"/>
  </si>
  <si>
    <t>1881PB(T)</t>
    <phoneticPr fontId="1" type="noConversion"/>
  </si>
  <si>
    <t>1881PBM(R)</t>
    <phoneticPr fontId="1" type="noConversion"/>
  </si>
  <si>
    <t>1881PBM(SR)</t>
    <phoneticPr fontId="1" type="noConversion"/>
  </si>
  <si>
    <t>1881PBM(TP)</t>
    <phoneticPr fontId="1" type="noConversion"/>
  </si>
  <si>
    <t>1881PBM(T)</t>
    <phoneticPr fontId="1" type="noConversion"/>
  </si>
  <si>
    <t>TABR(R)</t>
    <phoneticPr fontId="1" type="noConversion"/>
  </si>
  <si>
    <t>할인율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</si>
</sst>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₩&quot;* #,##0_-;\-&quot;₩&quot;* #,##0_-;_-&quot;₩&quot;* &quot;-&quot;_-;_-@_-"/>
    <numFmt numFmtId="41" formatCode="_-* #,##0_-;\-* #,##0_-;_-* &quot;-&quot;_-;_-@_-"/>
    <numFmt numFmtId="26" formatCode="\$#,##0.00_);[Red]\(\$#,##0.00\)"/>
    <numFmt numFmtId="176" formatCode="&quot;₩&quot;#,##0"/>
    <numFmt numFmtId="177" formatCode="&quot;₩&quot;#,##0.00_);[Red]\(&quot;₩&quot;#,##0.00\)"/>
    <numFmt numFmtId="178" formatCode="#,##0.0_ "/>
    <numFmt numFmtId="179" formatCode="#,##0.0"/>
    <numFmt numFmtId="180" formatCode="&quot;₩&quot;#,##0.0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6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b/>
      <sz val="6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0"/>
      <name val="맑은 고딕"/>
      <family val="3"/>
      <charset val="129"/>
    </font>
    <font>
      <b/>
      <sz val="10"/>
      <color rgb="FFFF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6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11"/>
      <name val="돋움"/>
      <family val="3"/>
      <charset val="129"/>
    </font>
    <font>
      <sz val="9"/>
      <name val="맑은 고딕"/>
      <family val="3"/>
      <charset val="129"/>
    </font>
    <font>
      <b/>
      <sz val="9"/>
      <name val="맑은 고딕"/>
      <family val="3"/>
      <charset val="129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CF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7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9" fillId="0" borderId="0"/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/>
  </cellStyleXfs>
  <cellXfs count="14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0" borderId="0" xfId="0" applyFont="1">
      <alignment vertical="center"/>
    </xf>
    <xf numFmtId="26" fontId="6" fillId="0" borderId="1" xfId="0" applyNumberFormat="1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26" fontId="7" fillId="8" borderId="1" xfId="0" applyNumberFormat="1" applyFont="1" applyFill="1" applyBorder="1">
      <alignment vertical="center"/>
    </xf>
    <xf numFmtId="0" fontId="7" fillId="8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26" fontId="6" fillId="10" borderId="1" xfId="0" applyNumberFormat="1" applyFont="1" applyFill="1" applyBorder="1">
      <alignment vertical="center"/>
    </xf>
    <xf numFmtId="0" fontId="6" fillId="10" borderId="1" xfId="0" applyFont="1" applyFill="1" applyBorder="1" applyAlignment="1">
      <alignment horizontal="center" vertical="center" wrapText="1"/>
    </xf>
    <xf numFmtId="26" fontId="6" fillId="11" borderId="1" xfId="0" applyNumberFormat="1" applyFont="1" applyFill="1" applyBorder="1">
      <alignment vertical="center"/>
    </xf>
    <xf numFmtId="177" fontId="6" fillId="0" borderId="1" xfId="0" applyNumberFormat="1" applyFont="1" applyBorder="1">
      <alignment vertical="center"/>
    </xf>
    <xf numFmtId="0" fontId="6" fillId="9" borderId="1" xfId="0" applyFont="1" applyFill="1" applyBorder="1">
      <alignment vertical="center"/>
    </xf>
    <xf numFmtId="49" fontId="0" fillId="0" borderId="0" xfId="0" applyNumberFormat="1">
      <alignment vertical="center"/>
    </xf>
    <xf numFmtId="26" fontId="11" fillId="8" borderId="1" xfId="0" applyNumberFormat="1" applyFont="1" applyFill="1" applyBorder="1">
      <alignment vertical="center"/>
    </xf>
    <xf numFmtId="0" fontId="7" fillId="13" borderId="1" xfId="0" quotePrefix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76" fontId="6" fillId="0" borderId="1" xfId="0" applyNumberFormat="1" applyFont="1" applyBorder="1">
      <alignment vertical="center"/>
    </xf>
    <xf numFmtId="0" fontId="12" fillId="9" borderId="1" xfId="0" applyFont="1" applyFill="1" applyBorder="1" applyAlignment="1">
      <alignment horizontal="center" vertical="center"/>
    </xf>
    <xf numFmtId="178" fontId="6" fillId="0" borderId="1" xfId="0" applyNumberFormat="1" applyFont="1" applyBorder="1">
      <alignment vertical="center"/>
    </xf>
    <xf numFmtId="176" fontId="10" fillId="9" borderId="1" xfId="0" applyNumberFormat="1" applyFont="1" applyFill="1" applyBorder="1">
      <alignment vertical="center"/>
    </xf>
    <xf numFmtId="176" fontId="10" fillId="14" borderId="1" xfId="0" applyNumberFormat="1" applyFont="1" applyFill="1" applyBorder="1">
      <alignment vertical="center"/>
    </xf>
    <xf numFmtId="0" fontId="10" fillId="12" borderId="1" xfId="0" applyFont="1" applyFill="1" applyBorder="1" applyAlignment="1">
      <alignment horizontal="center" vertical="center"/>
    </xf>
    <xf numFmtId="0" fontId="6" fillId="4" borderId="1" xfId="0" applyFont="1" applyFill="1" applyBorder="1">
      <alignment vertical="center"/>
    </xf>
    <xf numFmtId="0" fontId="6" fillId="0" borderId="4" xfId="0" applyFont="1" applyBorder="1">
      <alignment vertical="center"/>
    </xf>
    <xf numFmtId="177" fontId="6" fillId="0" borderId="4" xfId="0" applyNumberFormat="1" applyFont="1" applyBorder="1">
      <alignment vertical="center"/>
    </xf>
    <xf numFmtId="3" fontId="6" fillId="4" borderId="1" xfId="0" applyNumberFormat="1" applyFont="1" applyFill="1" applyBorder="1">
      <alignment vertical="center"/>
    </xf>
    <xf numFmtId="3" fontId="0" fillId="0" borderId="0" xfId="0" applyNumberFormat="1">
      <alignment vertical="center"/>
    </xf>
    <xf numFmtId="0" fontId="5" fillId="0" borderId="0" xfId="0" applyFont="1">
      <alignment vertical="center"/>
    </xf>
    <xf numFmtId="179" fontId="6" fillId="0" borderId="1" xfId="0" applyNumberFormat="1" applyFont="1" applyBorder="1">
      <alignment vertical="center"/>
    </xf>
    <xf numFmtId="0" fontId="7" fillId="15" borderId="1" xfId="0" applyFont="1" applyFill="1" applyBorder="1" applyAlignment="1">
      <alignment horizontal="center" vertical="center"/>
    </xf>
    <xf numFmtId="0" fontId="17" fillId="0" borderId="0" xfId="2">
      <alignment vertical="center"/>
    </xf>
    <xf numFmtId="180" fontId="6" fillId="9" borderId="1" xfId="0" applyNumberFormat="1" applyFont="1" applyFill="1" applyBorder="1">
      <alignment vertical="center"/>
    </xf>
    <xf numFmtId="0" fontId="2" fillId="0" borderId="0" xfId="0" applyFont="1">
      <alignment vertical="center"/>
    </xf>
    <xf numFmtId="3" fontId="13" fillId="2" borderId="1" xfId="0" applyNumberFormat="1" applyFont="1" applyFill="1" applyBorder="1">
      <alignment vertical="center"/>
    </xf>
    <xf numFmtId="0" fontId="7" fillId="15" borderId="4" xfId="0" applyFont="1" applyFill="1" applyBorder="1" applyAlignment="1">
      <alignment horizontal="center" vertical="center"/>
    </xf>
    <xf numFmtId="0" fontId="7" fillId="11" borderId="4" xfId="0" applyFont="1" applyFill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176" fontId="10" fillId="9" borderId="2" xfId="0" applyNumberFormat="1" applyFont="1" applyFill="1" applyBorder="1">
      <alignment vertical="center"/>
    </xf>
    <xf numFmtId="0" fontId="18" fillId="6" borderId="1" xfId="0" applyFont="1" applyFill="1" applyBorder="1" applyAlignment="1">
      <alignment horizontal="center" vertical="center"/>
    </xf>
    <xf numFmtId="0" fontId="18" fillId="6" borderId="1" xfId="0" applyFont="1" applyFill="1" applyBorder="1">
      <alignment vertical="center"/>
    </xf>
    <xf numFmtId="176" fontId="18" fillId="6" borderId="1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>
      <alignment vertical="center"/>
    </xf>
    <xf numFmtId="176" fontId="18" fillId="0" borderId="1" xfId="0" applyNumberFormat="1" applyFont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3" fontId="18" fillId="6" borderId="1" xfId="0" applyNumberFormat="1" applyFont="1" applyFill="1" applyBorder="1">
      <alignment vertical="center"/>
    </xf>
    <xf numFmtId="3" fontId="18" fillId="0" borderId="1" xfId="0" applyNumberFormat="1" applyFont="1" applyBorder="1">
      <alignment vertical="center"/>
    </xf>
    <xf numFmtId="0" fontId="7" fillId="16" borderId="4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6" fillId="0" borderId="1" xfId="0" quotePrefix="1" applyFont="1" applyBorder="1" applyAlignment="1">
      <alignment horizontal="right" vertical="center"/>
    </xf>
    <xf numFmtId="0" fontId="12" fillId="4" borderId="1" xfId="0" applyFont="1" applyFill="1" applyBorder="1" applyAlignment="1">
      <alignment horizontal="right" vertical="center"/>
    </xf>
    <xf numFmtId="0" fontId="12" fillId="4" borderId="1" xfId="0" quotePrefix="1" applyFont="1" applyFill="1" applyBorder="1" applyAlignment="1">
      <alignment horizontal="right" vertical="center"/>
    </xf>
    <xf numFmtId="0" fontId="12" fillId="4" borderId="4" xfId="0" applyFont="1" applyFill="1" applyBorder="1" applyAlignment="1">
      <alignment horizontal="right" vertical="center"/>
    </xf>
    <xf numFmtId="176" fontId="14" fillId="0" borderId="1" xfId="0" applyNumberFormat="1" applyFont="1" applyBorder="1">
      <alignment vertical="center"/>
    </xf>
    <xf numFmtId="9" fontId="0" fillId="0" borderId="0" xfId="3" applyFont="1">
      <alignment vertical="center"/>
    </xf>
    <xf numFmtId="9" fontId="6" fillId="0" borderId="1" xfId="3" applyFont="1" applyBorder="1">
      <alignment vertical="center"/>
    </xf>
    <xf numFmtId="0" fontId="12" fillId="0" borderId="4" xfId="0" applyFont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right" vertical="center"/>
    </xf>
    <xf numFmtId="3" fontId="6" fillId="0" borderId="1" xfId="0" applyNumberFormat="1" applyFont="1" applyBorder="1">
      <alignment vertical="center"/>
    </xf>
    <xf numFmtId="176" fontId="8" fillId="0" borderId="1" xfId="5" applyNumberFormat="1" applyFont="1" applyFill="1" applyBorder="1" applyAlignment="1">
      <alignment vertical="center"/>
    </xf>
    <xf numFmtId="42" fontId="16" fillId="0" borderId="1" xfId="6" applyFont="1" applyFill="1" applyBorder="1" applyAlignment="1">
      <alignment vertical="center"/>
    </xf>
    <xf numFmtId="9" fontId="6" fillId="0" borderId="1" xfId="3" applyFont="1" applyFill="1" applyBorder="1">
      <alignment vertical="center"/>
    </xf>
    <xf numFmtId="0" fontId="12" fillId="0" borderId="4" xfId="0" applyFont="1" applyBorder="1" applyAlignment="1">
      <alignment horizontal="right" vertical="center"/>
    </xf>
    <xf numFmtId="0" fontId="12" fillId="0" borderId="1" xfId="0" quotePrefix="1" applyFont="1" applyBorder="1" applyAlignment="1">
      <alignment horizontal="right" vertical="center"/>
    </xf>
    <xf numFmtId="49" fontId="5" fillId="12" borderId="1" xfId="0" applyNumberFormat="1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16" fillId="12" borderId="1" xfId="4" applyFont="1" applyFill="1" applyBorder="1" applyAlignment="1">
      <alignment horizontal="center" vertical="center"/>
    </xf>
    <xf numFmtId="9" fontId="5" fillId="12" borderId="1" xfId="3" applyFont="1" applyFill="1" applyBorder="1">
      <alignment vertical="center"/>
    </xf>
    <xf numFmtId="0" fontId="10" fillId="9" borderId="1" xfId="0" applyFont="1" applyFill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20" fillId="17" borderId="9" xfId="4" applyFont="1" applyFill="1" applyBorder="1" applyAlignment="1">
      <alignment horizontal="center" vertical="center"/>
    </xf>
    <xf numFmtId="0" fontId="20" fillId="17" borderId="10" xfId="4" applyFont="1" applyFill="1" applyBorder="1" applyAlignment="1">
      <alignment horizontal="center" vertical="center"/>
    </xf>
    <xf numFmtId="0" fontId="20" fillId="17" borderId="11" xfId="4" applyFont="1" applyFill="1" applyBorder="1" applyAlignment="1">
      <alignment horizontal="center" vertical="center"/>
    </xf>
    <xf numFmtId="176" fontId="12" fillId="0" borderId="12" xfId="4" applyNumberFormat="1" applyFont="1" applyBorder="1" applyAlignment="1">
      <alignment horizontal="center" vertical="center"/>
    </xf>
    <xf numFmtId="176" fontId="16" fillId="0" borderId="12" xfId="4" applyNumberFormat="1" applyFont="1" applyBorder="1" applyAlignment="1">
      <alignment horizontal="center" vertical="center"/>
    </xf>
    <xf numFmtId="41" fontId="12" fillId="0" borderId="12" xfId="5" applyFont="1" applyFill="1" applyBorder="1" applyAlignment="1">
      <alignment vertical="center"/>
    </xf>
    <xf numFmtId="42" fontId="12" fillId="0" borderId="12" xfId="6" applyFont="1" applyFill="1" applyBorder="1" applyAlignment="1">
      <alignment vertical="center"/>
    </xf>
    <xf numFmtId="0" fontId="20" fillId="18" borderId="9" xfId="4" applyFont="1" applyFill="1" applyBorder="1" applyAlignment="1">
      <alignment horizontal="center" vertical="center"/>
    </xf>
    <xf numFmtId="0" fontId="20" fillId="18" borderId="10" xfId="4" applyFont="1" applyFill="1" applyBorder="1" applyAlignment="1">
      <alignment horizontal="center" vertical="center"/>
    </xf>
    <xf numFmtId="0" fontId="20" fillId="18" borderId="11" xfId="4" applyFont="1" applyFill="1" applyBorder="1" applyAlignment="1">
      <alignment horizontal="center" vertical="center"/>
    </xf>
    <xf numFmtId="0" fontId="21" fillId="18" borderId="9" xfId="4" applyFont="1" applyFill="1" applyBorder="1" applyAlignment="1">
      <alignment horizontal="center" vertical="center"/>
    </xf>
    <xf numFmtId="0" fontId="21" fillId="18" borderId="10" xfId="4" applyFont="1" applyFill="1" applyBorder="1" applyAlignment="1">
      <alignment horizontal="center" vertical="center"/>
    </xf>
    <xf numFmtId="0" fontId="21" fillId="18" borderId="11" xfId="4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vertical="center" wrapText="1"/>
    </xf>
    <xf numFmtId="0" fontId="6" fillId="0" borderId="3" xfId="0" quotePrefix="1" applyFont="1" applyBorder="1" applyAlignment="1">
      <alignment horizontal="right" vertical="center"/>
    </xf>
    <xf numFmtId="42" fontId="6" fillId="0" borderId="1" xfId="0" applyNumberFormat="1" applyFont="1" applyBorder="1">
      <alignment vertical="center"/>
    </xf>
    <xf numFmtId="42" fontId="6" fillId="6" borderId="1" xfId="0" applyNumberFormat="1" applyFont="1" applyFill="1" applyBorder="1">
      <alignment vertical="center"/>
    </xf>
    <xf numFmtId="3" fontId="6" fillId="6" borderId="1" xfId="0" applyNumberFormat="1" applyFont="1" applyFill="1" applyBorder="1">
      <alignment vertical="center"/>
    </xf>
    <xf numFmtId="178" fontId="6" fillId="6" borderId="1" xfId="0" applyNumberFormat="1" applyFont="1" applyFill="1" applyBorder="1">
      <alignment vertical="center"/>
    </xf>
    <xf numFmtId="177" fontId="6" fillId="6" borderId="1" xfId="0" applyNumberFormat="1" applyFont="1" applyFill="1" applyBorder="1">
      <alignment vertical="center"/>
    </xf>
    <xf numFmtId="176" fontId="10" fillId="6" borderId="1" xfId="0" applyNumberFormat="1" applyFont="1" applyFill="1" applyBorder="1">
      <alignment vertical="center"/>
    </xf>
    <xf numFmtId="177" fontId="6" fillId="6" borderId="4" xfId="0" applyNumberFormat="1" applyFont="1" applyFill="1" applyBorder="1">
      <alignment vertical="center"/>
    </xf>
    <xf numFmtId="42" fontId="18" fillId="0" borderId="1" xfId="0" applyNumberFormat="1" applyFont="1" applyBorder="1">
      <alignment vertical="center"/>
    </xf>
    <xf numFmtId="176" fontId="12" fillId="9" borderId="1" xfId="4" applyNumberFormat="1" applyFont="1" applyFill="1" applyBorder="1" applyAlignment="1">
      <alignment horizontal="center" vertical="center"/>
    </xf>
    <xf numFmtId="176" fontId="12" fillId="4" borderId="1" xfId="4" applyNumberFormat="1" applyFont="1" applyFill="1" applyBorder="1" applyAlignment="1">
      <alignment horizontal="center" vertical="center"/>
    </xf>
    <xf numFmtId="42" fontId="6" fillId="0" borderId="1" xfId="0" applyNumberFormat="1" applyFont="1" applyBorder="1" applyAlignment="1">
      <alignment horizontal="center" vertical="center"/>
    </xf>
    <xf numFmtId="42" fontId="12" fillId="9" borderId="1" xfId="4" applyNumberFormat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49" fontId="5" fillId="12" borderId="6" xfId="0" applyNumberFormat="1" applyFont="1" applyFill="1" applyBorder="1" applyAlignment="1">
      <alignment horizontal="center" vertical="center"/>
    </xf>
    <xf numFmtId="9" fontId="5" fillId="12" borderId="1" xfId="3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/>
    </xf>
    <xf numFmtId="49" fontId="5" fillId="12" borderId="5" xfId="0" applyNumberFormat="1" applyFont="1" applyFill="1" applyBorder="1" applyAlignment="1">
      <alignment horizontal="center" vertical="center"/>
    </xf>
    <xf numFmtId="49" fontId="5" fillId="12" borderId="6" xfId="0" applyNumberFormat="1" applyFont="1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0" fontId="18" fillId="5" borderId="2" xfId="0" applyFont="1" applyFill="1" applyBorder="1" applyAlignment="1">
      <alignment horizontal="center" vertical="center"/>
    </xf>
    <xf numFmtId="0" fontId="18" fillId="5" borderId="3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7" fillId="16" borderId="7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10" borderId="4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49" fontId="6" fillId="0" borderId="4" xfId="0" applyNumberFormat="1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176" fontId="12" fillId="3" borderId="4" xfId="5" applyNumberFormat="1" applyFont="1" applyFill="1" applyBorder="1" applyAlignment="1">
      <alignment horizontal="center" vertical="center"/>
    </xf>
    <xf numFmtId="176" fontId="12" fillId="3" borderId="3" xfId="5" applyNumberFormat="1" applyFont="1" applyFill="1" applyBorder="1" applyAlignment="1">
      <alignment horizontal="center" vertical="center"/>
    </xf>
    <xf numFmtId="176" fontId="12" fillId="3" borderId="4" xfId="4" applyNumberFormat="1" applyFont="1" applyFill="1" applyBorder="1" applyAlignment="1">
      <alignment horizontal="center" vertical="center"/>
    </xf>
    <xf numFmtId="176" fontId="12" fillId="3" borderId="3" xfId="4" applyNumberFormat="1" applyFont="1" applyFill="1" applyBorder="1" applyAlignment="1">
      <alignment horizontal="center" vertical="center"/>
    </xf>
    <xf numFmtId="176" fontId="16" fillId="3" borderId="4" xfId="4" applyNumberFormat="1" applyFont="1" applyFill="1" applyBorder="1" applyAlignment="1">
      <alignment horizontal="center" vertical="center"/>
    </xf>
    <xf numFmtId="176" fontId="16" fillId="3" borderId="3" xfId="4" applyNumberFormat="1" applyFont="1" applyFill="1" applyBorder="1" applyAlignment="1">
      <alignment horizontal="center" vertical="center"/>
    </xf>
    <xf numFmtId="176" fontId="12" fillId="3" borderId="2" xfId="5" applyNumberFormat="1" applyFont="1" applyFill="1" applyBorder="1" applyAlignment="1">
      <alignment horizontal="center" vertical="center"/>
    </xf>
    <xf numFmtId="176" fontId="12" fillId="3" borderId="2" xfId="4" applyNumberFormat="1" applyFont="1" applyFill="1" applyBorder="1" applyAlignment="1">
      <alignment horizontal="center" vertical="center"/>
    </xf>
    <xf numFmtId="176" fontId="16" fillId="3" borderId="2" xfId="4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vertical="center"/>
    </xf>
    <xf numFmtId="49" fontId="8" fillId="0" borderId="4" xfId="0" applyNumberFormat="1" applyFont="1" applyBorder="1" applyAlignment="1">
      <alignment vertical="center"/>
    </xf>
  </cellXfs>
  <cellStyles count="7">
    <cellStyle name="백분율" xfId="3" builtinId="5"/>
    <cellStyle name="쉼표 [0] 2" xfId="1" xr:uid="{D9E78408-36CA-42DF-8FC3-D2F1B18C9B2D}"/>
    <cellStyle name="쉼표 [0] 5" xfId="5" xr:uid="{E3798250-2AEE-4FAF-9994-2341B02CB762}"/>
    <cellStyle name="통화 [0] 4" xfId="6" xr:uid="{644E9B98-F3F0-4621-878E-DE3F0EB817D1}"/>
    <cellStyle name="표준" xfId="0" builtinId="0"/>
    <cellStyle name="표준 6" xfId="4" xr:uid="{1F9736DE-6692-4E0B-B204-61FC2D217C17}"/>
    <cellStyle name="하이퍼링크" xfId="2" builtinId="8"/>
  </cellStyles>
  <dxfs count="0"/>
  <tableStyles count="0" defaultTableStyle="TableStyleMedium2" defaultPivotStyle="PivotStyleLight16"/>
  <colors>
    <mruColors>
      <color rgb="FFFFFC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민경 박" id="{B2BC18A7-EF76-487E-9C2E-637D010AC045}" userId="6b328c23ad33ad6e" providerId="Windows Live"/>
</personList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2" dT="2025-07-04T23:24:47.27" personId="{B2BC18A7-EF76-487E-9C2E-637D010AC045}" id="{EF718DA3-CF20-450A-80CC-D8813265F53F}">
    <text>수출가격(달러)*1493 (환율계산)</text>
  </threadedComment>
  <threadedComment ref="N2" dT="2025-07-04T23:47:01.74" personId="{B2BC18A7-EF76-487E-9C2E-637D010AC045}" id="{915E52AF-7BBE-4109-B72B-7A80FF941023}">
    <text>무게(g)*61</text>
  </threadedComment>
  <threadedComment ref="N2" dT="2025-07-04T23:47:25.71" personId="{B2BC18A7-EF76-487E-9C2E-637D010AC045}" id="{D245CF9D-4EDF-413E-A3E7-CFE8F5CBEC4A}" parentId="{915E52AF-7BBE-4109-B72B-7A80FF941023}">
    <text>무게는 평균 10g으로 계산</text>
  </threadedComment>
  <threadedComment ref="O2" dT="2025-07-04T23:49:12.79" personId="{B2BC18A7-EF76-487E-9C2E-637D010AC045}" id="{B9EC8C0E-4F7C-40DE-A35F-5463D5D0E1A1}">
    <text>무게(g)*103</text>
  </threadedComment>
  <threadedComment ref="P2" dT="2025-07-04T23:51:36.28" personId="{B2BC18A7-EF76-487E-9C2E-637D010AC045}" id="{FA3E04F2-A451-4D1B-9428-08CDD9D81733}">
    <text>담배소비세*43.99%</text>
  </threadedComment>
  <threadedComment ref="Q2" dT="2025-07-04T23:52:11.45" personId="{B2BC18A7-EF76-487E-9C2E-637D010AC045}" id="{DB07CBF3-50C2-4D39-92BE-28BDEBE2C7E0}">
    <text>무게(g)*85.8</text>
  </threadedComment>
  <threadedComment ref="R2" dT="2025-07-04T23:52:33.28" personId="{B2BC18A7-EF76-487E-9C2E-637D010AC045}" id="{5CDF5589-C543-4F2A-A6AD-06A31462CA4D}">
    <text>(물품가격+개별소비세)*10%</text>
  </threadedComment>
  <threadedComment ref="X2" dT="2026-03-20T23:53:42.85" personId="{B2BC18A7-EF76-487E-9C2E-637D010AC045}" id="{53A7F57A-412A-42F2-8267-D2FCE85FC856}">
    <text>페소*25*1.12(부가세)</text>
  </threadedComment>
  <threadedComment ref="E19" dT="2026-03-08T07:37:40.12" personId="{B2BC18A7-EF76-487E-9C2E-637D010AC045}" id="{61798D50-53EB-4C85-A85D-242E39B3C265}">
    <text>25개 박스 수출 가격 없어서 예측치 입력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A73CC-8755-40BE-A3CD-A4DAB0DA4406}">
  <sheetPr>
    <tabColor rgb="FFEE0000"/>
  </sheetPr>
  <dimension ref="A1:AF42"/>
  <sheetViews>
    <sheetView tabSelected="1" zoomScale="70" zoomScaleNormal="70" workbookViewId="0">
      <selection activeCell="F22" sqref="F22"/>
    </sheetView>
  </sheetViews>
  <sheetFormatPr defaultRowHeight="17.399999999999999" x14ac:dyDescent="0.4"/>
  <cols>
    <col min="2" max="2" width="34" style="16" bestFit="1" customWidth="1"/>
    <col min="3" max="3" width="20.09765625" bestFit="1" customWidth="1"/>
    <col min="4" max="4" width="20.09765625" customWidth="1"/>
    <col min="5" max="5" width="13.296875" customWidth="1"/>
    <col min="6" max="8" width="7.8984375" customWidth="1"/>
    <col min="9" max="9" width="12.09765625" customWidth="1"/>
    <col min="10" max="11" width="11.3984375" customWidth="1"/>
    <col min="12" max="12" width="9.8984375" customWidth="1"/>
    <col min="13" max="13" width="8.19921875" customWidth="1"/>
    <col min="14" max="16" width="10" customWidth="1"/>
    <col min="17" max="17" width="10.3984375" customWidth="1"/>
    <col min="18" max="19" width="9.3984375" customWidth="1"/>
    <col min="20" max="20" width="15.3984375" customWidth="1"/>
    <col min="21" max="21" width="12.09765625" customWidth="1"/>
    <col min="22" max="23" width="8.796875" customWidth="1"/>
    <col min="24" max="24" width="9.796875" bestFit="1" customWidth="1"/>
    <col min="25" max="25" width="9.8984375" bestFit="1" customWidth="1"/>
    <col min="27" max="27" width="6.69921875" bestFit="1" customWidth="1"/>
    <col min="28" max="28" width="9.69921875" bestFit="1" customWidth="1"/>
    <col min="29" max="29" width="7.59765625" bestFit="1" customWidth="1"/>
    <col min="30" max="31" width="9.8984375" style="58" customWidth="1"/>
    <col min="32" max="32" width="15.3984375" bestFit="1" customWidth="1"/>
  </cols>
  <sheetData>
    <row r="1" spans="1:32" s="5" customFormat="1" ht="17.399999999999999" customHeight="1" x14ac:dyDescent="0.4">
      <c r="B1" s="112" t="s">
        <v>195</v>
      </c>
      <c r="C1" s="113"/>
      <c r="D1" s="103"/>
      <c r="E1" s="106" t="s">
        <v>2</v>
      </c>
      <c r="F1" s="106"/>
      <c r="G1" s="106"/>
      <c r="H1" s="106"/>
      <c r="I1" s="106"/>
      <c r="J1" s="106"/>
      <c r="K1" s="106"/>
      <c r="L1" s="108" t="s">
        <v>62</v>
      </c>
      <c r="M1" s="108" t="s">
        <v>82</v>
      </c>
      <c r="N1" s="106" t="s">
        <v>61</v>
      </c>
      <c r="O1" s="106"/>
      <c r="P1" s="106"/>
      <c r="Q1" s="106"/>
      <c r="R1" s="106"/>
      <c r="S1" s="108" t="s">
        <v>80</v>
      </c>
      <c r="T1" s="110" t="s">
        <v>81</v>
      </c>
      <c r="U1" s="107" t="s">
        <v>74</v>
      </c>
      <c r="V1" s="105" t="s">
        <v>181</v>
      </c>
      <c r="W1" s="105"/>
      <c r="X1" s="105"/>
      <c r="Y1" s="111" t="s">
        <v>200</v>
      </c>
      <c r="Z1" s="111"/>
      <c r="AA1" s="111"/>
      <c r="AB1" s="111"/>
      <c r="AC1" s="111"/>
      <c r="AD1" s="104" t="s">
        <v>203</v>
      </c>
      <c r="AE1" s="104"/>
    </row>
    <row r="2" spans="1:32" s="5" customFormat="1" ht="15.6" x14ac:dyDescent="0.4">
      <c r="A2" s="69" t="s">
        <v>277</v>
      </c>
      <c r="B2" s="69" t="s">
        <v>189</v>
      </c>
      <c r="C2" s="70" t="s">
        <v>125</v>
      </c>
      <c r="D2" s="70" t="s">
        <v>276</v>
      </c>
      <c r="E2" s="25" t="s">
        <v>77</v>
      </c>
      <c r="F2" s="9" t="s">
        <v>70</v>
      </c>
      <c r="G2" s="9" t="s">
        <v>319</v>
      </c>
      <c r="H2" s="9" t="s">
        <v>75</v>
      </c>
      <c r="I2" s="3" t="s">
        <v>65</v>
      </c>
      <c r="J2" s="9" t="s">
        <v>271</v>
      </c>
      <c r="K2" s="73" t="s">
        <v>272</v>
      </c>
      <c r="L2" s="109"/>
      <c r="M2" s="109"/>
      <c r="N2" s="3" t="s">
        <v>3</v>
      </c>
      <c r="O2" s="3" t="s">
        <v>4</v>
      </c>
      <c r="P2" s="3" t="s">
        <v>5</v>
      </c>
      <c r="Q2" s="3" t="s">
        <v>6</v>
      </c>
      <c r="R2" s="3" t="s">
        <v>7</v>
      </c>
      <c r="S2" s="109"/>
      <c r="T2" s="109"/>
      <c r="U2" s="107"/>
      <c r="V2" s="25" t="s">
        <v>204</v>
      </c>
      <c r="W2" s="25" t="s">
        <v>205</v>
      </c>
      <c r="X2" s="25" t="s">
        <v>206</v>
      </c>
      <c r="Y2" s="71" t="s">
        <v>185</v>
      </c>
      <c r="Z2" s="71" t="s">
        <v>186</v>
      </c>
      <c r="AA2" s="71" t="s">
        <v>0</v>
      </c>
      <c r="AB2" s="71" t="s">
        <v>187</v>
      </c>
      <c r="AC2" s="71" t="s">
        <v>188</v>
      </c>
      <c r="AD2" s="72" t="s">
        <v>201</v>
      </c>
      <c r="AE2" s="72" t="s">
        <v>202</v>
      </c>
      <c r="AF2" s="71" t="s">
        <v>273</v>
      </c>
    </row>
    <row r="3" spans="1:32" s="5" customFormat="1" ht="15.6" x14ac:dyDescent="0.4">
      <c r="A3" s="5" t="s">
        <v>279</v>
      </c>
      <c r="B3" s="144" t="s">
        <v>274</v>
      </c>
      <c r="C3" s="19" t="s">
        <v>275</v>
      </c>
      <c r="D3" s="19" t="s">
        <v>278</v>
      </c>
      <c r="E3" s="4">
        <v>49.5</v>
      </c>
      <c r="F3" s="26">
        <f>E3*1</f>
        <v>49.5</v>
      </c>
      <c r="G3" s="26">
        <v>1</v>
      </c>
      <c r="H3" s="54">
        <v>1000</v>
      </c>
      <c r="I3" s="4">
        <f>F3/10</f>
        <v>4.95</v>
      </c>
      <c r="J3" s="91">
        <f>I3*1493</f>
        <v>7390.35</v>
      </c>
      <c r="K3" s="92">
        <f>J3*H3</f>
        <v>7390350</v>
      </c>
      <c r="L3" s="93">
        <v>1.3</v>
      </c>
      <c r="M3" s="93">
        <f>L3*H3</f>
        <v>1300</v>
      </c>
      <c r="N3" s="94">
        <f t="shared" ref="N3" si="0">L3*61</f>
        <v>79.3</v>
      </c>
      <c r="O3" s="94">
        <f>L3*103</f>
        <v>133.9</v>
      </c>
      <c r="P3" s="94">
        <f t="shared" ref="P3" si="1">O3*0.4399</f>
        <v>58.902610000000003</v>
      </c>
      <c r="Q3" s="94">
        <f>L3*85.8</f>
        <v>111.54</v>
      </c>
      <c r="R3" s="94">
        <f>(J3+N3)*0.1</f>
        <v>746.96500000000015</v>
      </c>
      <c r="S3" s="94">
        <f>SUM(N3:R3)</f>
        <v>1130.60761</v>
      </c>
      <c r="T3" s="94">
        <f>S3*H3</f>
        <v>1130607.6100000001</v>
      </c>
      <c r="U3" s="95">
        <f>J3+S3</f>
        <v>8520.9576100000013</v>
      </c>
      <c r="V3" s="4"/>
      <c r="W3" s="46">
        <v>520</v>
      </c>
      <c r="X3" s="97">
        <f>W3*25*1.12</f>
        <v>14560.000000000002</v>
      </c>
      <c r="Y3" s="98">
        <v>33000</v>
      </c>
      <c r="Z3" s="99">
        <v>23000</v>
      </c>
      <c r="AA3" s="64">
        <f>Z3*0.1</f>
        <v>2300</v>
      </c>
      <c r="AB3" s="65">
        <f>AA3+Z3</f>
        <v>25300</v>
      </c>
      <c r="AC3" s="57">
        <f>Y3-Z3</f>
        <v>10000</v>
      </c>
      <c r="AD3" s="59">
        <f>(Y3-U3)/Y3</f>
        <v>0.74178916333333333</v>
      </c>
      <c r="AE3" s="59">
        <f>(Z3-U3)/Z3</f>
        <v>0.62952358217391302</v>
      </c>
      <c r="AF3" s="100">
        <v>30000</v>
      </c>
    </row>
    <row r="4" spans="1:32" s="5" customFormat="1" ht="15.6" x14ac:dyDescent="0.4">
      <c r="A4" s="5" t="s">
        <v>279</v>
      </c>
      <c r="B4" s="144" t="s">
        <v>34</v>
      </c>
      <c r="C4" s="19" t="s">
        <v>43</v>
      </c>
      <c r="D4" s="19" t="s">
        <v>281</v>
      </c>
      <c r="E4" s="4">
        <v>33</v>
      </c>
      <c r="F4" s="26">
        <f>E4*0.8</f>
        <v>26.400000000000002</v>
      </c>
      <c r="G4" s="26">
        <v>0.8</v>
      </c>
      <c r="H4" s="54">
        <v>1000</v>
      </c>
      <c r="I4" s="4">
        <f t="shared" ref="I4:I40" si="2">F4/25</f>
        <v>1.056</v>
      </c>
      <c r="J4" s="91">
        <f t="shared" ref="J4:J40" si="3">I4*1493</f>
        <v>1576.6080000000002</v>
      </c>
      <c r="K4" s="92">
        <f t="shared" ref="K4:K30" si="4">J4*H4</f>
        <v>1576608.0000000002</v>
      </c>
      <c r="L4" s="93">
        <v>7</v>
      </c>
      <c r="M4" s="93">
        <f t="shared" ref="M4:M30" si="5">L4*H4</f>
        <v>7000</v>
      </c>
      <c r="N4" s="94">
        <f t="shared" ref="N4:N8" si="6">L4*61</f>
        <v>427</v>
      </c>
      <c r="O4" s="94">
        <f t="shared" ref="O4:O8" si="7">L4*103</f>
        <v>721</v>
      </c>
      <c r="P4" s="94">
        <f t="shared" ref="P4:P8" si="8">O4*0.4399</f>
        <v>317.16790000000003</v>
      </c>
      <c r="Q4" s="94">
        <f t="shared" ref="Q4:Q8" si="9">L4*85.8</f>
        <v>600.6</v>
      </c>
      <c r="R4" s="94">
        <f t="shared" ref="R4:R8" si="10">(J4+N4)*0.1</f>
        <v>200.36080000000004</v>
      </c>
      <c r="S4" s="94">
        <f t="shared" ref="S4:S8" si="11">SUM(N4:R4)</f>
        <v>2266.1286999999998</v>
      </c>
      <c r="T4" s="94">
        <f t="shared" ref="T4:T30" si="12">S4*H4</f>
        <v>2266128.6999999997</v>
      </c>
      <c r="U4" s="95">
        <f t="shared" ref="U4:U40" si="13">J4+S4</f>
        <v>3842.7366999999999</v>
      </c>
      <c r="V4" s="50">
        <v>2930</v>
      </c>
      <c r="W4" s="50">
        <f t="shared" ref="W4:W9" si="14">V4/25</f>
        <v>117.2</v>
      </c>
      <c r="X4" s="97">
        <f t="shared" ref="X4:X26" si="15">W4*25*1.12</f>
        <v>3281.6000000000004</v>
      </c>
      <c r="Y4" s="98">
        <v>14000</v>
      </c>
      <c r="Z4" s="99">
        <v>9000</v>
      </c>
      <c r="AA4" s="64">
        <f t="shared" ref="AA4:AA41" si="16">Z4*0.1</f>
        <v>900</v>
      </c>
      <c r="AB4" s="65">
        <f t="shared" ref="AB4:AB41" si="17">AA4+Z4</f>
        <v>9900</v>
      </c>
      <c r="AC4" s="57">
        <f t="shared" ref="AC4:AC41" si="18">Y4-Z4</f>
        <v>5000</v>
      </c>
      <c r="AD4" s="59">
        <f t="shared" ref="AD4:AD41" si="19">(Y4-U4)/Y4</f>
        <v>0.72551880714285721</v>
      </c>
      <c r="AE4" s="59">
        <f t="shared" ref="AE4:AE41" si="20">(Z4-U4)/Z4</f>
        <v>0.57302925555555562</v>
      </c>
      <c r="AF4" s="100">
        <v>12000</v>
      </c>
    </row>
    <row r="5" spans="1:32" s="5" customFormat="1" ht="15.6" x14ac:dyDescent="0.4">
      <c r="A5" s="5" t="s">
        <v>280</v>
      </c>
      <c r="B5" s="144" t="s">
        <v>34</v>
      </c>
      <c r="C5" s="19" t="s">
        <v>196</v>
      </c>
      <c r="D5" s="19" t="s">
        <v>283</v>
      </c>
      <c r="E5" s="4">
        <v>45</v>
      </c>
      <c r="F5" s="4">
        <f t="shared" ref="F5:F23" si="21">E5*0.8</f>
        <v>36</v>
      </c>
      <c r="G5" s="26">
        <v>0.8</v>
      </c>
      <c r="H5" s="62">
        <v>1</v>
      </c>
      <c r="I5" s="4">
        <f t="shared" si="2"/>
        <v>1.44</v>
      </c>
      <c r="J5" s="90">
        <f t="shared" si="3"/>
        <v>2149.92</v>
      </c>
      <c r="K5" s="63"/>
      <c r="L5" s="22">
        <v>11</v>
      </c>
      <c r="M5" s="22"/>
      <c r="N5" s="14">
        <f t="shared" ref="N5" si="22">L5*61</f>
        <v>671</v>
      </c>
      <c r="O5" s="14">
        <f t="shared" ref="O5" si="23">L5*103</f>
        <v>1133</v>
      </c>
      <c r="P5" s="14">
        <f t="shared" ref="P5" si="24">O5*0.4399</f>
        <v>498.4067</v>
      </c>
      <c r="Q5" s="14">
        <f t="shared" ref="Q5" si="25">L5*85.8</f>
        <v>943.8</v>
      </c>
      <c r="R5" s="14">
        <f t="shared" ref="R5" si="26">(J5+N5)*0.1</f>
        <v>282.09200000000004</v>
      </c>
      <c r="S5" s="14">
        <f t="shared" ref="S5" si="27">SUM(N5:R5)</f>
        <v>3528.2986999999998</v>
      </c>
      <c r="T5" s="14"/>
      <c r="U5" s="23">
        <f t="shared" si="13"/>
        <v>5678.2186999999994</v>
      </c>
      <c r="V5" s="50">
        <v>3899</v>
      </c>
      <c r="W5" s="50">
        <f t="shared" si="14"/>
        <v>155.96</v>
      </c>
      <c r="X5" s="97">
        <f t="shared" si="15"/>
        <v>4366.88</v>
      </c>
      <c r="Y5" s="98">
        <v>18000</v>
      </c>
      <c r="Z5" s="99">
        <v>12000</v>
      </c>
      <c r="AA5" s="64">
        <f t="shared" si="16"/>
        <v>1200</v>
      </c>
      <c r="AB5" s="65">
        <f t="shared" si="17"/>
        <v>13200</v>
      </c>
      <c r="AC5" s="57">
        <f t="shared" si="18"/>
        <v>6000</v>
      </c>
      <c r="AD5" s="66">
        <f t="shared" si="19"/>
        <v>0.6845434055555556</v>
      </c>
      <c r="AE5" s="66">
        <f t="shared" si="20"/>
        <v>0.52681510833333334</v>
      </c>
      <c r="AF5" s="98">
        <v>18000</v>
      </c>
    </row>
    <row r="6" spans="1:32" s="5" customFormat="1" ht="15.6" x14ac:dyDescent="0.4">
      <c r="A6" s="5" t="s">
        <v>279</v>
      </c>
      <c r="B6" s="144" t="s">
        <v>34</v>
      </c>
      <c r="C6" s="19" t="s">
        <v>25</v>
      </c>
      <c r="D6" s="19" t="s">
        <v>282</v>
      </c>
      <c r="E6" s="4">
        <v>49</v>
      </c>
      <c r="F6" s="26">
        <f t="shared" si="21"/>
        <v>39.200000000000003</v>
      </c>
      <c r="G6" s="26">
        <v>0.8</v>
      </c>
      <c r="H6" s="54">
        <v>1000</v>
      </c>
      <c r="I6" s="4">
        <f t="shared" si="2"/>
        <v>1.5680000000000001</v>
      </c>
      <c r="J6" s="91">
        <f t="shared" si="3"/>
        <v>2341.0239999999999</v>
      </c>
      <c r="K6" s="92">
        <f t="shared" si="4"/>
        <v>2341024</v>
      </c>
      <c r="L6" s="93">
        <v>14</v>
      </c>
      <c r="M6" s="93">
        <f t="shared" si="5"/>
        <v>14000</v>
      </c>
      <c r="N6" s="94">
        <f t="shared" si="6"/>
        <v>854</v>
      </c>
      <c r="O6" s="94">
        <f t="shared" si="7"/>
        <v>1442</v>
      </c>
      <c r="P6" s="94">
        <f t="shared" si="8"/>
        <v>634.33580000000006</v>
      </c>
      <c r="Q6" s="94">
        <f t="shared" si="9"/>
        <v>1201.2</v>
      </c>
      <c r="R6" s="94">
        <f t="shared" si="10"/>
        <v>319.50240000000002</v>
      </c>
      <c r="S6" s="94">
        <f t="shared" si="11"/>
        <v>4451.0382</v>
      </c>
      <c r="T6" s="94">
        <f t="shared" si="12"/>
        <v>4451038.2</v>
      </c>
      <c r="U6" s="95">
        <f t="shared" si="13"/>
        <v>6792.0622000000003</v>
      </c>
      <c r="V6" s="50">
        <v>4253</v>
      </c>
      <c r="W6" s="50">
        <f t="shared" si="14"/>
        <v>170.12</v>
      </c>
      <c r="X6" s="97">
        <f t="shared" si="15"/>
        <v>4763.3600000000006</v>
      </c>
      <c r="Y6" s="98">
        <v>19000</v>
      </c>
      <c r="Z6" s="99">
        <v>13000</v>
      </c>
      <c r="AA6" s="64">
        <f t="shared" si="16"/>
        <v>1300</v>
      </c>
      <c r="AB6" s="65">
        <f t="shared" si="17"/>
        <v>14300</v>
      </c>
      <c r="AC6" s="57">
        <f t="shared" si="18"/>
        <v>6000</v>
      </c>
      <c r="AD6" s="59">
        <f t="shared" si="19"/>
        <v>0.64252304210526312</v>
      </c>
      <c r="AE6" s="59">
        <f t="shared" si="20"/>
        <v>0.47753367692307691</v>
      </c>
      <c r="AF6" s="100">
        <v>18000</v>
      </c>
    </row>
    <row r="7" spans="1:32" s="5" customFormat="1" ht="15.6" x14ac:dyDescent="0.4">
      <c r="A7" s="5" t="s">
        <v>280</v>
      </c>
      <c r="B7" s="144" t="s">
        <v>34</v>
      </c>
      <c r="C7" s="19" t="s">
        <v>199</v>
      </c>
      <c r="D7" s="19" t="s">
        <v>284</v>
      </c>
      <c r="E7" s="4">
        <v>55</v>
      </c>
      <c r="F7" s="4">
        <f t="shared" si="21"/>
        <v>44</v>
      </c>
      <c r="G7" s="26">
        <v>0.8</v>
      </c>
      <c r="H7" s="62">
        <v>1</v>
      </c>
      <c r="I7" s="4">
        <f t="shared" si="2"/>
        <v>1.76</v>
      </c>
      <c r="J7" s="90">
        <f t="shared" si="3"/>
        <v>2627.68</v>
      </c>
      <c r="K7" s="63"/>
      <c r="L7" s="22">
        <v>16.3</v>
      </c>
      <c r="M7" s="22"/>
      <c r="N7" s="14">
        <f t="shared" si="6"/>
        <v>994.30000000000007</v>
      </c>
      <c r="O7" s="14">
        <f t="shared" si="7"/>
        <v>1678.9</v>
      </c>
      <c r="P7" s="14">
        <f t="shared" si="8"/>
        <v>738.54811000000007</v>
      </c>
      <c r="Q7" s="14">
        <f t="shared" si="9"/>
        <v>1398.54</v>
      </c>
      <c r="R7" s="14">
        <f t="shared" si="10"/>
        <v>362.19800000000004</v>
      </c>
      <c r="S7" s="14">
        <f t="shared" si="11"/>
        <v>5172.4861100000007</v>
      </c>
      <c r="T7" s="14"/>
      <c r="U7" s="23">
        <f t="shared" si="13"/>
        <v>7800.1661100000001</v>
      </c>
      <c r="V7" s="50">
        <v>4914</v>
      </c>
      <c r="W7" s="50">
        <f t="shared" si="14"/>
        <v>196.56</v>
      </c>
      <c r="X7" s="97">
        <f t="shared" si="15"/>
        <v>5503.68</v>
      </c>
      <c r="Y7" s="98">
        <v>28000</v>
      </c>
      <c r="Z7" s="99">
        <v>19000</v>
      </c>
      <c r="AA7" s="64">
        <f t="shared" si="16"/>
        <v>1900</v>
      </c>
      <c r="AB7" s="65">
        <f t="shared" si="17"/>
        <v>20900</v>
      </c>
      <c r="AC7" s="57">
        <f t="shared" si="18"/>
        <v>9000</v>
      </c>
      <c r="AD7" s="59">
        <f t="shared" si="19"/>
        <v>0.7214226389285715</v>
      </c>
      <c r="AE7" s="59">
        <f t="shared" si="20"/>
        <v>0.58946494157894735</v>
      </c>
      <c r="AF7" s="98">
        <v>28000</v>
      </c>
    </row>
    <row r="8" spans="1:32" s="5" customFormat="1" ht="15.6" x14ac:dyDescent="0.4">
      <c r="A8" s="5" t="s">
        <v>279</v>
      </c>
      <c r="B8" s="143" t="s">
        <v>57</v>
      </c>
      <c r="C8" s="19" t="s">
        <v>196</v>
      </c>
      <c r="D8" s="19" t="s">
        <v>285</v>
      </c>
      <c r="E8" s="4">
        <v>33</v>
      </c>
      <c r="F8" s="26">
        <f t="shared" si="21"/>
        <v>26.400000000000002</v>
      </c>
      <c r="G8" s="26">
        <v>0.8</v>
      </c>
      <c r="H8" s="54">
        <v>1000</v>
      </c>
      <c r="I8" s="4">
        <f t="shared" si="2"/>
        <v>1.056</v>
      </c>
      <c r="J8" s="91">
        <f t="shared" si="3"/>
        <v>1576.6080000000002</v>
      </c>
      <c r="K8" s="92">
        <f t="shared" si="4"/>
        <v>1576608.0000000002</v>
      </c>
      <c r="L8" s="93">
        <v>11</v>
      </c>
      <c r="M8" s="93">
        <f t="shared" si="5"/>
        <v>11000</v>
      </c>
      <c r="N8" s="94">
        <f t="shared" si="6"/>
        <v>671</v>
      </c>
      <c r="O8" s="94">
        <f t="shared" si="7"/>
        <v>1133</v>
      </c>
      <c r="P8" s="94">
        <f t="shared" si="8"/>
        <v>498.4067</v>
      </c>
      <c r="Q8" s="94">
        <f t="shared" si="9"/>
        <v>943.8</v>
      </c>
      <c r="R8" s="94">
        <f t="shared" si="10"/>
        <v>224.76080000000002</v>
      </c>
      <c r="S8" s="94">
        <f t="shared" si="11"/>
        <v>3470.9674999999997</v>
      </c>
      <c r="T8" s="94">
        <f t="shared" si="12"/>
        <v>3470967.4999999995</v>
      </c>
      <c r="U8" s="95">
        <f t="shared" si="13"/>
        <v>5047.5754999999999</v>
      </c>
      <c r="V8" s="50">
        <v>3190</v>
      </c>
      <c r="W8" s="50">
        <f t="shared" si="14"/>
        <v>127.6</v>
      </c>
      <c r="X8" s="97">
        <f t="shared" si="15"/>
        <v>3572.8</v>
      </c>
      <c r="Y8" s="98">
        <v>21000</v>
      </c>
      <c r="Z8" s="99">
        <v>14000</v>
      </c>
      <c r="AA8" s="64">
        <f t="shared" si="16"/>
        <v>1400</v>
      </c>
      <c r="AB8" s="65">
        <f t="shared" si="17"/>
        <v>15400</v>
      </c>
      <c r="AC8" s="57">
        <f t="shared" si="18"/>
        <v>7000</v>
      </c>
      <c r="AD8" s="59">
        <f t="shared" si="19"/>
        <v>0.75963926190476194</v>
      </c>
      <c r="AE8" s="59">
        <f t="shared" si="20"/>
        <v>0.63945889285714297</v>
      </c>
      <c r="AF8" s="100">
        <v>19000</v>
      </c>
    </row>
    <row r="9" spans="1:32" s="5" customFormat="1" ht="15.6" x14ac:dyDescent="0.4">
      <c r="A9" s="5" t="s">
        <v>280</v>
      </c>
      <c r="B9" s="143" t="s">
        <v>57</v>
      </c>
      <c r="C9" s="19" t="s">
        <v>197</v>
      </c>
      <c r="D9" s="19" t="s">
        <v>286</v>
      </c>
      <c r="E9" s="4">
        <v>41</v>
      </c>
      <c r="F9" s="4">
        <f t="shared" si="21"/>
        <v>32.800000000000004</v>
      </c>
      <c r="G9" s="26">
        <v>0.8</v>
      </c>
      <c r="H9" s="62">
        <v>1</v>
      </c>
      <c r="I9" s="4">
        <f t="shared" si="2"/>
        <v>1.3120000000000003</v>
      </c>
      <c r="J9" s="90">
        <f t="shared" si="3"/>
        <v>1958.8160000000005</v>
      </c>
      <c r="K9" s="63"/>
      <c r="L9" s="22">
        <v>13.8</v>
      </c>
      <c r="M9" s="22"/>
      <c r="N9" s="14">
        <f t="shared" ref="N9:N25" si="28">L9*61</f>
        <v>841.80000000000007</v>
      </c>
      <c r="O9" s="14">
        <f t="shared" ref="O9:O25" si="29">L9*103</f>
        <v>1421.4</v>
      </c>
      <c r="P9" s="14">
        <f t="shared" ref="P9:P25" si="30">O9*0.4399</f>
        <v>625.27386000000001</v>
      </c>
      <c r="Q9" s="14">
        <f t="shared" ref="Q9:Q25" si="31">L9*85.8</f>
        <v>1184.04</v>
      </c>
      <c r="R9" s="14">
        <f t="shared" ref="R9:R25" si="32">(J9+N9)*0.1</f>
        <v>280.06160000000006</v>
      </c>
      <c r="S9" s="14">
        <f t="shared" ref="S9:S25" si="33">SUM(N9:R9)</f>
        <v>4352.57546</v>
      </c>
      <c r="T9" s="14"/>
      <c r="U9" s="23">
        <f t="shared" si="13"/>
        <v>6311.3914600000007</v>
      </c>
      <c r="V9" s="50">
        <v>3591</v>
      </c>
      <c r="W9" s="50">
        <f t="shared" si="14"/>
        <v>143.63999999999999</v>
      </c>
      <c r="X9" s="97">
        <f t="shared" si="15"/>
        <v>4021.92</v>
      </c>
      <c r="Y9" s="98">
        <v>23000</v>
      </c>
      <c r="Z9" s="99">
        <v>15000</v>
      </c>
      <c r="AA9" s="64">
        <f t="shared" si="16"/>
        <v>1500</v>
      </c>
      <c r="AB9" s="65">
        <f t="shared" si="17"/>
        <v>16500</v>
      </c>
      <c r="AC9" s="57">
        <f t="shared" si="18"/>
        <v>8000</v>
      </c>
      <c r="AD9" s="66">
        <f t="shared" si="19"/>
        <v>0.72559167565217397</v>
      </c>
      <c r="AE9" s="66">
        <f t="shared" si="20"/>
        <v>0.57924056933333323</v>
      </c>
      <c r="AF9" s="98">
        <v>23000</v>
      </c>
    </row>
    <row r="10" spans="1:32" s="5" customFormat="1" ht="15.6" x14ac:dyDescent="0.4">
      <c r="A10" s="5" t="s">
        <v>279</v>
      </c>
      <c r="B10" s="143" t="s">
        <v>57</v>
      </c>
      <c r="C10" s="19" t="s">
        <v>25</v>
      </c>
      <c r="D10" s="19" t="s">
        <v>287</v>
      </c>
      <c r="E10" s="4">
        <v>48</v>
      </c>
      <c r="F10" s="26">
        <f t="shared" si="21"/>
        <v>38.400000000000006</v>
      </c>
      <c r="G10" s="26">
        <v>0.8</v>
      </c>
      <c r="H10" s="54">
        <v>1000</v>
      </c>
      <c r="I10" s="4">
        <f t="shared" si="2"/>
        <v>1.5360000000000003</v>
      </c>
      <c r="J10" s="91">
        <f t="shared" si="3"/>
        <v>2293.2480000000005</v>
      </c>
      <c r="K10" s="92">
        <f t="shared" si="4"/>
        <v>2293248.0000000005</v>
      </c>
      <c r="L10" s="93">
        <v>14</v>
      </c>
      <c r="M10" s="93">
        <f t="shared" ref="M10:M21" si="34">L10*H10</f>
        <v>14000</v>
      </c>
      <c r="N10" s="94">
        <f t="shared" si="28"/>
        <v>854</v>
      </c>
      <c r="O10" s="94">
        <f t="shared" si="29"/>
        <v>1442</v>
      </c>
      <c r="P10" s="94">
        <f t="shared" si="30"/>
        <v>634.33580000000006</v>
      </c>
      <c r="Q10" s="94">
        <f t="shared" si="31"/>
        <v>1201.2</v>
      </c>
      <c r="R10" s="94">
        <f t="shared" si="32"/>
        <v>314.72480000000007</v>
      </c>
      <c r="S10" s="94">
        <f t="shared" si="33"/>
        <v>4446.2605999999996</v>
      </c>
      <c r="T10" s="94">
        <f t="shared" ref="T10:T21" si="35">S10*H10</f>
        <v>4446260.5999999996</v>
      </c>
      <c r="U10" s="95">
        <f t="shared" si="13"/>
        <v>6739.5086000000001</v>
      </c>
      <c r="V10" s="50">
        <v>4158</v>
      </c>
      <c r="W10" s="50">
        <f t="shared" ref="W10:W21" si="36">V10/25</f>
        <v>166.32</v>
      </c>
      <c r="X10" s="97">
        <f t="shared" si="15"/>
        <v>4656.96</v>
      </c>
      <c r="Y10" s="98">
        <v>23000</v>
      </c>
      <c r="Z10" s="99">
        <v>15000</v>
      </c>
      <c r="AA10" s="64">
        <f t="shared" si="16"/>
        <v>1500</v>
      </c>
      <c r="AB10" s="65">
        <f t="shared" si="17"/>
        <v>16500</v>
      </c>
      <c r="AC10" s="57">
        <f t="shared" si="18"/>
        <v>8000</v>
      </c>
      <c r="AD10" s="59">
        <f t="shared" si="19"/>
        <v>0.70697788695652164</v>
      </c>
      <c r="AE10" s="59">
        <f t="shared" si="20"/>
        <v>0.5506994266666666</v>
      </c>
      <c r="AF10" s="100">
        <v>21000</v>
      </c>
    </row>
    <row r="11" spans="1:32" s="5" customFormat="1" ht="15.6" x14ac:dyDescent="0.4">
      <c r="A11" s="5" t="s">
        <v>279</v>
      </c>
      <c r="B11" s="144" t="s">
        <v>72</v>
      </c>
      <c r="C11" s="19" t="s">
        <v>196</v>
      </c>
      <c r="D11" s="19" t="s">
        <v>288</v>
      </c>
      <c r="E11" s="4">
        <v>55</v>
      </c>
      <c r="F11" s="26">
        <f>E11*0.8</f>
        <v>44</v>
      </c>
      <c r="G11" s="26">
        <v>0.8</v>
      </c>
      <c r="H11" s="54">
        <v>1000</v>
      </c>
      <c r="I11" s="4">
        <f>F11/25</f>
        <v>1.76</v>
      </c>
      <c r="J11" s="91">
        <f>I11*1493</f>
        <v>2627.68</v>
      </c>
      <c r="K11" s="92">
        <f>J11*H11</f>
        <v>2627680</v>
      </c>
      <c r="L11" s="93">
        <v>11</v>
      </c>
      <c r="M11" s="93">
        <f>L11*H11</f>
        <v>11000</v>
      </c>
      <c r="N11" s="94">
        <f>L11*61</f>
        <v>671</v>
      </c>
      <c r="O11" s="94">
        <f>L11*103</f>
        <v>1133</v>
      </c>
      <c r="P11" s="94">
        <f>O11*0.4399</f>
        <v>498.4067</v>
      </c>
      <c r="Q11" s="94">
        <f>L11*85.8</f>
        <v>943.8</v>
      </c>
      <c r="R11" s="94">
        <f>(J11+N11)*0.1</f>
        <v>329.86799999999999</v>
      </c>
      <c r="S11" s="94">
        <f>SUM(N11:R11)</f>
        <v>3576.0746999999997</v>
      </c>
      <c r="T11" s="94">
        <f>S11*H11</f>
        <v>3576074.6999999997</v>
      </c>
      <c r="U11" s="95">
        <f>J11+S11</f>
        <v>6203.7546999999995</v>
      </c>
      <c r="V11" s="50">
        <v>7797</v>
      </c>
      <c r="W11" s="50">
        <f>V11/25</f>
        <v>311.88</v>
      </c>
      <c r="X11" s="97">
        <f t="shared" si="15"/>
        <v>8732.6400000000012</v>
      </c>
      <c r="Y11" s="98">
        <v>26000</v>
      </c>
      <c r="Z11" s="99">
        <v>16000</v>
      </c>
      <c r="AA11" s="64">
        <f>Z11*0.1</f>
        <v>1600</v>
      </c>
      <c r="AB11" s="65">
        <f>AA11+Z11</f>
        <v>17600</v>
      </c>
      <c r="AC11" s="57">
        <f>Y11-Z11</f>
        <v>10000</v>
      </c>
      <c r="AD11" s="59">
        <f t="shared" si="19"/>
        <v>0.76139405000000004</v>
      </c>
      <c r="AE11" s="59">
        <f t="shared" si="20"/>
        <v>0.61226533125000004</v>
      </c>
      <c r="AF11" s="100">
        <v>24000</v>
      </c>
    </row>
    <row r="12" spans="1:32" s="5" customFormat="1" ht="15.6" x14ac:dyDescent="0.4">
      <c r="A12" s="5" t="s">
        <v>280</v>
      </c>
      <c r="B12" s="144" t="s">
        <v>72</v>
      </c>
      <c r="C12" s="19" t="s">
        <v>25</v>
      </c>
      <c r="D12" s="19" t="s">
        <v>289</v>
      </c>
      <c r="E12" s="27">
        <v>66</v>
      </c>
      <c r="F12" s="4">
        <f>E12*0.8</f>
        <v>52.800000000000004</v>
      </c>
      <c r="G12" s="26">
        <v>0.8</v>
      </c>
      <c r="H12" s="67">
        <v>1</v>
      </c>
      <c r="I12" s="4">
        <f>F12/25</f>
        <v>2.1120000000000001</v>
      </c>
      <c r="J12" s="90">
        <f>I12*1493</f>
        <v>3153.2160000000003</v>
      </c>
      <c r="K12" s="63"/>
      <c r="L12" s="22">
        <v>14</v>
      </c>
      <c r="M12" s="22"/>
      <c r="N12" s="14">
        <f>L12*61</f>
        <v>854</v>
      </c>
      <c r="O12" s="14">
        <f>L12*103</f>
        <v>1442</v>
      </c>
      <c r="P12" s="14">
        <f>O12*0.4399</f>
        <v>634.33580000000006</v>
      </c>
      <c r="Q12" s="14">
        <f>L12*85.8</f>
        <v>1201.2</v>
      </c>
      <c r="R12" s="14">
        <f>(J12+N12)*0.1</f>
        <v>400.72160000000008</v>
      </c>
      <c r="S12" s="14">
        <f>SUM(N12:R12)</f>
        <v>4532.2573999999995</v>
      </c>
      <c r="T12" s="14"/>
      <c r="U12" s="23">
        <f>J12+S12</f>
        <v>7685.4733999999999</v>
      </c>
      <c r="V12" s="50">
        <v>8978</v>
      </c>
      <c r="W12" s="50">
        <f>V12/25</f>
        <v>359.12</v>
      </c>
      <c r="X12" s="97">
        <f t="shared" si="15"/>
        <v>10055.36</v>
      </c>
      <c r="Y12" s="98">
        <v>29000</v>
      </c>
      <c r="Z12" s="99">
        <v>19000</v>
      </c>
      <c r="AA12" s="64">
        <f>Z12*0.1</f>
        <v>1900</v>
      </c>
      <c r="AB12" s="65">
        <f>AA12+Z12</f>
        <v>20900</v>
      </c>
      <c r="AC12" s="57">
        <f>Y12-Z12</f>
        <v>10000</v>
      </c>
      <c r="AD12" s="66">
        <f t="shared" si="19"/>
        <v>0.73498367586206903</v>
      </c>
      <c r="AE12" s="66">
        <f t="shared" si="20"/>
        <v>0.59550140000000007</v>
      </c>
      <c r="AF12" s="98">
        <v>29000</v>
      </c>
    </row>
    <row r="13" spans="1:32" s="5" customFormat="1" ht="15.6" x14ac:dyDescent="0.4">
      <c r="A13" s="5" t="s">
        <v>280</v>
      </c>
      <c r="B13" s="144" t="s">
        <v>72</v>
      </c>
      <c r="C13" s="19" t="s">
        <v>27</v>
      </c>
      <c r="D13" s="19" t="s">
        <v>290</v>
      </c>
      <c r="E13" s="27">
        <v>88</v>
      </c>
      <c r="F13" s="4">
        <f>E13*0.8</f>
        <v>70.400000000000006</v>
      </c>
      <c r="G13" s="26">
        <v>0.8</v>
      </c>
      <c r="H13" s="67">
        <v>1</v>
      </c>
      <c r="I13" s="4">
        <f>F13/25</f>
        <v>2.8160000000000003</v>
      </c>
      <c r="J13" s="90">
        <f>I13*1493</f>
        <v>4204.2880000000005</v>
      </c>
      <c r="K13" s="63"/>
      <c r="L13" s="22">
        <v>14.4</v>
      </c>
      <c r="M13" s="22"/>
      <c r="N13" s="14">
        <f>L13*61</f>
        <v>878.4</v>
      </c>
      <c r="O13" s="14">
        <f>L13*103</f>
        <v>1483.2</v>
      </c>
      <c r="P13" s="14">
        <f>O13*0.4399</f>
        <v>652.45968000000005</v>
      </c>
      <c r="Q13" s="14">
        <f>L13*85.8</f>
        <v>1235.52</v>
      </c>
      <c r="R13" s="14">
        <f>(J13+N13)*0.1</f>
        <v>508.26880000000006</v>
      </c>
      <c r="S13" s="14">
        <f>SUM(N13:R13)</f>
        <v>4757.8484799999997</v>
      </c>
      <c r="T13" s="14"/>
      <c r="U13" s="23">
        <f>J13+S13</f>
        <v>8962.136480000001</v>
      </c>
      <c r="V13" s="50">
        <v>12688</v>
      </c>
      <c r="W13" s="50">
        <f>V13/25</f>
        <v>507.52</v>
      </c>
      <c r="X13" s="97">
        <f t="shared" si="15"/>
        <v>14210.560000000001</v>
      </c>
      <c r="Y13" s="98">
        <v>38000</v>
      </c>
      <c r="Z13" s="99">
        <v>27000</v>
      </c>
      <c r="AA13" s="64">
        <f>Z13*0.1</f>
        <v>2700</v>
      </c>
      <c r="AB13" s="65">
        <f>AA13+Z13</f>
        <v>29700</v>
      </c>
      <c r="AC13" s="57">
        <f>Y13-Z13</f>
        <v>11000</v>
      </c>
      <c r="AD13" s="66">
        <f t="shared" si="19"/>
        <v>0.76415430315789468</v>
      </c>
      <c r="AE13" s="66">
        <f t="shared" si="20"/>
        <v>0.66806901925925921</v>
      </c>
      <c r="AF13" s="100">
        <v>36000</v>
      </c>
    </row>
    <row r="14" spans="1:32" s="5" customFormat="1" ht="15.6" x14ac:dyDescent="0.4">
      <c r="A14" s="5" t="s">
        <v>279</v>
      </c>
      <c r="B14" s="144" t="s">
        <v>107</v>
      </c>
      <c r="C14" s="19" t="s">
        <v>196</v>
      </c>
      <c r="D14" s="19" t="s">
        <v>291</v>
      </c>
      <c r="E14" s="4">
        <v>53</v>
      </c>
      <c r="F14" s="26">
        <f t="shared" si="21"/>
        <v>42.400000000000006</v>
      </c>
      <c r="G14" s="26">
        <v>0.8</v>
      </c>
      <c r="H14" s="54">
        <v>1000</v>
      </c>
      <c r="I14" s="4">
        <f t="shared" si="2"/>
        <v>1.6960000000000002</v>
      </c>
      <c r="J14" s="91">
        <f t="shared" si="3"/>
        <v>2532.1280000000002</v>
      </c>
      <c r="K14" s="92">
        <f t="shared" si="4"/>
        <v>2532128</v>
      </c>
      <c r="L14" s="93">
        <v>11</v>
      </c>
      <c r="M14" s="93">
        <f t="shared" si="34"/>
        <v>11000</v>
      </c>
      <c r="N14" s="94">
        <f t="shared" si="28"/>
        <v>671</v>
      </c>
      <c r="O14" s="94">
        <f t="shared" si="29"/>
        <v>1133</v>
      </c>
      <c r="P14" s="94">
        <f t="shared" si="30"/>
        <v>498.4067</v>
      </c>
      <c r="Q14" s="94">
        <f t="shared" si="31"/>
        <v>943.8</v>
      </c>
      <c r="R14" s="94">
        <f t="shared" si="32"/>
        <v>320.31280000000004</v>
      </c>
      <c r="S14" s="94">
        <f t="shared" si="33"/>
        <v>3566.5194999999999</v>
      </c>
      <c r="T14" s="94">
        <f t="shared" si="35"/>
        <v>3566519.5</v>
      </c>
      <c r="U14" s="95">
        <f t="shared" si="13"/>
        <v>6098.6475</v>
      </c>
      <c r="V14" s="50">
        <v>8813</v>
      </c>
      <c r="W14" s="50">
        <f t="shared" si="36"/>
        <v>352.52</v>
      </c>
      <c r="X14" s="97">
        <f t="shared" si="15"/>
        <v>9870.5600000000013</v>
      </c>
      <c r="Y14" s="98">
        <v>26000</v>
      </c>
      <c r="Z14" s="99">
        <v>16000</v>
      </c>
      <c r="AA14" s="64">
        <f t="shared" si="16"/>
        <v>1600</v>
      </c>
      <c r="AB14" s="65">
        <f t="shared" si="17"/>
        <v>17600</v>
      </c>
      <c r="AC14" s="57">
        <f t="shared" si="18"/>
        <v>10000</v>
      </c>
      <c r="AD14" s="59">
        <f t="shared" si="19"/>
        <v>0.76543663461538469</v>
      </c>
      <c r="AE14" s="59">
        <f t="shared" si="20"/>
        <v>0.6188345312500001</v>
      </c>
      <c r="AF14" s="100">
        <v>23000</v>
      </c>
    </row>
    <row r="15" spans="1:32" s="5" customFormat="1" ht="15.6" x14ac:dyDescent="0.4">
      <c r="A15" s="5" t="s">
        <v>279</v>
      </c>
      <c r="B15" s="144" t="s">
        <v>107</v>
      </c>
      <c r="C15" s="19" t="s">
        <v>25</v>
      </c>
      <c r="D15" s="19" t="s">
        <v>292</v>
      </c>
      <c r="E15" s="4">
        <v>55</v>
      </c>
      <c r="F15" s="26">
        <f t="shared" si="21"/>
        <v>44</v>
      </c>
      <c r="G15" s="26">
        <v>0.8</v>
      </c>
      <c r="H15" s="54">
        <v>1000</v>
      </c>
      <c r="I15" s="4">
        <f t="shared" si="2"/>
        <v>1.76</v>
      </c>
      <c r="J15" s="91">
        <f t="shared" si="3"/>
        <v>2627.68</v>
      </c>
      <c r="K15" s="92">
        <f t="shared" si="4"/>
        <v>2627680</v>
      </c>
      <c r="L15" s="93">
        <v>14</v>
      </c>
      <c r="M15" s="93">
        <f t="shared" si="34"/>
        <v>14000</v>
      </c>
      <c r="N15" s="94">
        <f t="shared" si="28"/>
        <v>854</v>
      </c>
      <c r="O15" s="94">
        <f t="shared" si="29"/>
        <v>1442</v>
      </c>
      <c r="P15" s="94">
        <f t="shared" si="30"/>
        <v>634.33580000000006</v>
      </c>
      <c r="Q15" s="94">
        <f t="shared" si="31"/>
        <v>1201.2</v>
      </c>
      <c r="R15" s="94">
        <f t="shared" si="32"/>
        <v>348.16800000000001</v>
      </c>
      <c r="S15" s="94">
        <f t="shared" si="33"/>
        <v>4479.7037999999993</v>
      </c>
      <c r="T15" s="94">
        <f t="shared" si="35"/>
        <v>4479703.7999999989</v>
      </c>
      <c r="U15" s="95">
        <f t="shared" si="13"/>
        <v>7107.3837999999996</v>
      </c>
      <c r="V15" s="50">
        <v>10939</v>
      </c>
      <c r="W15" s="50">
        <f t="shared" si="36"/>
        <v>437.56</v>
      </c>
      <c r="X15" s="97">
        <f t="shared" si="15"/>
        <v>12251.68</v>
      </c>
      <c r="Y15" s="98">
        <v>32000</v>
      </c>
      <c r="Z15" s="99">
        <v>21000</v>
      </c>
      <c r="AA15" s="64">
        <f t="shared" si="16"/>
        <v>2100</v>
      </c>
      <c r="AB15" s="65">
        <f t="shared" si="17"/>
        <v>23100</v>
      </c>
      <c r="AC15" s="57">
        <f t="shared" si="18"/>
        <v>11000</v>
      </c>
      <c r="AD15" s="59">
        <f t="shared" si="19"/>
        <v>0.77789425624999997</v>
      </c>
      <c r="AE15" s="59">
        <f t="shared" si="20"/>
        <v>0.66155315238095236</v>
      </c>
      <c r="AF15" s="100">
        <v>29000</v>
      </c>
    </row>
    <row r="16" spans="1:32" s="5" customFormat="1" ht="15.6" x14ac:dyDescent="0.4">
      <c r="A16" s="5" t="s">
        <v>280</v>
      </c>
      <c r="B16" s="144" t="s">
        <v>107</v>
      </c>
      <c r="C16" s="19" t="s">
        <v>24</v>
      </c>
      <c r="D16" s="19" t="s">
        <v>293</v>
      </c>
      <c r="E16" s="53">
        <v>83</v>
      </c>
      <c r="F16" s="4">
        <f t="shared" si="21"/>
        <v>66.400000000000006</v>
      </c>
      <c r="G16" s="26">
        <v>0.8</v>
      </c>
      <c r="H16" s="68">
        <v>1</v>
      </c>
      <c r="I16" s="4">
        <f t="shared" si="2"/>
        <v>2.6560000000000001</v>
      </c>
      <c r="J16" s="90">
        <f t="shared" si="3"/>
        <v>3965.4080000000004</v>
      </c>
      <c r="K16" s="63"/>
      <c r="L16" s="53">
        <v>18</v>
      </c>
      <c r="M16" s="22"/>
      <c r="N16" s="14">
        <f t="shared" si="28"/>
        <v>1098</v>
      </c>
      <c r="O16" s="14">
        <f t="shared" si="29"/>
        <v>1854</v>
      </c>
      <c r="P16" s="14">
        <f t="shared" si="30"/>
        <v>815.57460000000003</v>
      </c>
      <c r="Q16" s="14">
        <f t="shared" si="31"/>
        <v>1544.3999999999999</v>
      </c>
      <c r="R16" s="14">
        <f t="shared" si="32"/>
        <v>506.34080000000006</v>
      </c>
      <c r="S16" s="14">
        <f t="shared" si="33"/>
        <v>5818.3153999999995</v>
      </c>
      <c r="T16" s="14"/>
      <c r="U16" s="23">
        <f t="shared" si="13"/>
        <v>9783.7233999999989</v>
      </c>
      <c r="V16" s="50">
        <v>13444</v>
      </c>
      <c r="W16" s="50">
        <f t="shared" si="36"/>
        <v>537.76</v>
      </c>
      <c r="X16" s="97">
        <f t="shared" si="15"/>
        <v>15057.28</v>
      </c>
      <c r="Y16" s="98">
        <v>41000</v>
      </c>
      <c r="Z16" s="99">
        <v>26000</v>
      </c>
      <c r="AA16" s="64">
        <f t="shared" si="16"/>
        <v>2600</v>
      </c>
      <c r="AB16" s="65">
        <f t="shared" si="17"/>
        <v>28600</v>
      </c>
      <c r="AC16" s="57">
        <f t="shared" si="18"/>
        <v>15000</v>
      </c>
      <c r="AD16" s="66">
        <f t="shared" si="19"/>
        <v>0.76137260000000007</v>
      </c>
      <c r="AE16" s="66">
        <f t="shared" si="20"/>
        <v>0.62370294615384625</v>
      </c>
      <c r="AF16" s="101">
        <v>38000</v>
      </c>
    </row>
    <row r="17" spans="1:32" s="5" customFormat="1" ht="15.6" x14ac:dyDescent="0.4">
      <c r="A17" s="5" t="s">
        <v>279</v>
      </c>
      <c r="B17" s="144" t="s">
        <v>9</v>
      </c>
      <c r="C17" s="19" t="s">
        <v>196</v>
      </c>
      <c r="D17" s="19" t="s">
        <v>294</v>
      </c>
      <c r="E17" s="4">
        <v>65</v>
      </c>
      <c r="F17" s="26">
        <f t="shared" si="21"/>
        <v>52</v>
      </c>
      <c r="G17" s="26">
        <v>0.8</v>
      </c>
      <c r="H17" s="54">
        <v>1000</v>
      </c>
      <c r="I17" s="4">
        <f t="shared" si="2"/>
        <v>2.08</v>
      </c>
      <c r="J17" s="91">
        <f t="shared" si="3"/>
        <v>3105.44</v>
      </c>
      <c r="K17" s="92">
        <f t="shared" si="4"/>
        <v>3105440</v>
      </c>
      <c r="L17" s="93">
        <v>11</v>
      </c>
      <c r="M17" s="93">
        <f t="shared" si="34"/>
        <v>11000</v>
      </c>
      <c r="N17" s="94">
        <f t="shared" si="28"/>
        <v>671</v>
      </c>
      <c r="O17" s="94">
        <f t="shared" si="29"/>
        <v>1133</v>
      </c>
      <c r="P17" s="94">
        <f t="shared" si="30"/>
        <v>498.4067</v>
      </c>
      <c r="Q17" s="94">
        <f t="shared" si="31"/>
        <v>943.8</v>
      </c>
      <c r="R17" s="94">
        <f t="shared" si="32"/>
        <v>377.64400000000001</v>
      </c>
      <c r="S17" s="94">
        <f t="shared" si="33"/>
        <v>3623.8507</v>
      </c>
      <c r="T17" s="94">
        <f t="shared" si="35"/>
        <v>3623850.7</v>
      </c>
      <c r="U17" s="95">
        <f t="shared" si="13"/>
        <v>6729.2906999999996</v>
      </c>
      <c r="V17" s="50">
        <v>8766</v>
      </c>
      <c r="W17" s="50">
        <f t="shared" si="36"/>
        <v>350.64</v>
      </c>
      <c r="X17" s="97">
        <f t="shared" si="15"/>
        <v>9817.92</v>
      </c>
      <c r="Y17" s="98">
        <v>29000</v>
      </c>
      <c r="Z17" s="99">
        <v>19000</v>
      </c>
      <c r="AA17" s="64">
        <f t="shared" si="16"/>
        <v>1900</v>
      </c>
      <c r="AB17" s="65">
        <f t="shared" si="17"/>
        <v>20900</v>
      </c>
      <c r="AC17" s="57">
        <f t="shared" si="18"/>
        <v>10000</v>
      </c>
      <c r="AD17" s="59">
        <f t="shared" si="19"/>
        <v>0.76795549310344835</v>
      </c>
      <c r="AE17" s="59">
        <f t="shared" si="20"/>
        <v>0.64582680526315794</v>
      </c>
      <c r="AF17" s="100">
        <v>26000</v>
      </c>
    </row>
    <row r="18" spans="1:32" s="5" customFormat="1" ht="15.6" x14ac:dyDescent="0.4">
      <c r="A18" s="5" t="s">
        <v>280</v>
      </c>
      <c r="B18" s="144" t="s">
        <v>9</v>
      </c>
      <c r="C18" s="19" t="s">
        <v>198</v>
      </c>
      <c r="D18" s="19" t="s">
        <v>295</v>
      </c>
      <c r="E18" s="4">
        <v>80</v>
      </c>
      <c r="F18" s="4">
        <f t="shared" si="21"/>
        <v>64</v>
      </c>
      <c r="G18" s="26">
        <v>0.8</v>
      </c>
      <c r="H18" s="62">
        <v>1</v>
      </c>
      <c r="I18" s="4">
        <f t="shared" si="2"/>
        <v>2.56</v>
      </c>
      <c r="J18" s="90">
        <f t="shared" si="3"/>
        <v>3822.08</v>
      </c>
      <c r="K18" s="63"/>
      <c r="L18" s="22">
        <v>15</v>
      </c>
      <c r="M18" s="22"/>
      <c r="N18" s="14">
        <f t="shared" si="28"/>
        <v>915</v>
      </c>
      <c r="O18" s="14">
        <f t="shared" si="29"/>
        <v>1545</v>
      </c>
      <c r="P18" s="14">
        <f t="shared" si="30"/>
        <v>679.64549999999997</v>
      </c>
      <c r="Q18" s="14">
        <f t="shared" si="31"/>
        <v>1287</v>
      </c>
      <c r="R18" s="14">
        <f t="shared" si="32"/>
        <v>473.70800000000003</v>
      </c>
      <c r="S18" s="14">
        <f t="shared" si="33"/>
        <v>4900.3535000000002</v>
      </c>
      <c r="T18" s="14"/>
      <c r="U18" s="23">
        <f t="shared" si="13"/>
        <v>8722.4334999999992</v>
      </c>
      <c r="V18" s="50">
        <v>10703</v>
      </c>
      <c r="W18" s="50">
        <f t="shared" si="36"/>
        <v>428.12</v>
      </c>
      <c r="X18" s="97">
        <f t="shared" si="15"/>
        <v>11987.36</v>
      </c>
      <c r="Y18" s="98">
        <v>40000</v>
      </c>
      <c r="Z18" s="99">
        <v>27000</v>
      </c>
      <c r="AA18" s="64">
        <f t="shared" si="16"/>
        <v>2700</v>
      </c>
      <c r="AB18" s="65">
        <f t="shared" si="17"/>
        <v>29700</v>
      </c>
      <c r="AC18" s="57">
        <f t="shared" si="18"/>
        <v>13000</v>
      </c>
      <c r="AD18" s="66">
        <f t="shared" si="19"/>
        <v>0.78193916250000006</v>
      </c>
      <c r="AE18" s="66">
        <f t="shared" si="20"/>
        <v>0.67694690740740748</v>
      </c>
      <c r="AF18" s="98">
        <v>40000</v>
      </c>
    </row>
    <row r="19" spans="1:32" s="5" customFormat="1" ht="15.6" x14ac:dyDescent="0.4">
      <c r="A19" s="5" t="s">
        <v>280</v>
      </c>
      <c r="B19" s="144" t="s">
        <v>9</v>
      </c>
      <c r="C19" s="19" t="s">
        <v>199</v>
      </c>
      <c r="D19" s="19" t="s">
        <v>296</v>
      </c>
      <c r="E19" s="4">
        <v>96</v>
      </c>
      <c r="F19" s="4">
        <f t="shared" si="21"/>
        <v>76.800000000000011</v>
      </c>
      <c r="G19" s="26">
        <v>0.8</v>
      </c>
      <c r="H19" s="62">
        <v>1</v>
      </c>
      <c r="I19" s="4">
        <f t="shared" si="2"/>
        <v>3.0720000000000005</v>
      </c>
      <c r="J19" s="90">
        <f t="shared" si="3"/>
        <v>4586.496000000001</v>
      </c>
      <c r="K19" s="63"/>
      <c r="L19" s="22">
        <v>16.3</v>
      </c>
      <c r="M19" s="22"/>
      <c r="N19" s="14">
        <f t="shared" si="28"/>
        <v>994.30000000000007</v>
      </c>
      <c r="O19" s="14">
        <f t="shared" si="29"/>
        <v>1678.9</v>
      </c>
      <c r="P19" s="14">
        <f t="shared" si="30"/>
        <v>738.54811000000007</v>
      </c>
      <c r="Q19" s="14">
        <f t="shared" si="31"/>
        <v>1398.54</v>
      </c>
      <c r="R19" s="14">
        <f t="shared" si="32"/>
        <v>558.07960000000014</v>
      </c>
      <c r="S19" s="14">
        <f t="shared" si="33"/>
        <v>5368.3677100000004</v>
      </c>
      <c r="T19" s="14"/>
      <c r="U19" s="23">
        <f t="shared" si="13"/>
        <v>9954.8637100000014</v>
      </c>
      <c r="V19" s="50">
        <v>14648</v>
      </c>
      <c r="W19" s="50">
        <f t="shared" si="36"/>
        <v>585.91999999999996</v>
      </c>
      <c r="X19" s="97">
        <f t="shared" si="15"/>
        <v>16405.759999999998</v>
      </c>
      <c r="Y19" s="98">
        <v>43000</v>
      </c>
      <c r="Z19" s="99">
        <v>29000</v>
      </c>
      <c r="AA19" s="64">
        <f t="shared" si="16"/>
        <v>2900</v>
      </c>
      <c r="AB19" s="65">
        <f t="shared" si="17"/>
        <v>31900</v>
      </c>
      <c r="AC19" s="57">
        <f t="shared" si="18"/>
        <v>14000</v>
      </c>
      <c r="AD19" s="66">
        <f t="shared" si="19"/>
        <v>0.76849154162790689</v>
      </c>
      <c r="AE19" s="66">
        <f t="shared" si="20"/>
        <v>0.65672883758620682</v>
      </c>
      <c r="AF19" s="98">
        <v>43000</v>
      </c>
    </row>
    <row r="20" spans="1:32" s="5" customFormat="1" ht="15.6" x14ac:dyDescent="0.4">
      <c r="A20" s="5" t="s">
        <v>279</v>
      </c>
      <c r="B20" s="143" t="s">
        <v>47</v>
      </c>
      <c r="C20" s="19" t="s">
        <v>196</v>
      </c>
      <c r="D20" s="19" t="s">
        <v>297</v>
      </c>
      <c r="E20" s="4">
        <v>81</v>
      </c>
      <c r="F20" s="26">
        <f t="shared" si="21"/>
        <v>64.8</v>
      </c>
      <c r="G20" s="26">
        <v>0.8</v>
      </c>
      <c r="H20" s="54">
        <v>1000</v>
      </c>
      <c r="I20" s="4">
        <f t="shared" si="2"/>
        <v>2.5920000000000001</v>
      </c>
      <c r="J20" s="91">
        <f t="shared" si="3"/>
        <v>3869.8560000000002</v>
      </c>
      <c r="K20" s="92">
        <f t="shared" si="4"/>
        <v>3869856</v>
      </c>
      <c r="L20" s="93">
        <v>11</v>
      </c>
      <c r="M20" s="93">
        <f t="shared" si="34"/>
        <v>11000</v>
      </c>
      <c r="N20" s="94">
        <f t="shared" si="28"/>
        <v>671</v>
      </c>
      <c r="O20" s="94">
        <f t="shared" si="29"/>
        <v>1133</v>
      </c>
      <c r="P20" s="94">
        <f t="shared" si="30"/>
        <v>498.4067</v>
      </c>
      <c r="Q20" s="94">
        <f t="shared" si="31"/>
        <v>943.8</v>
      </c>
      <c r="R20" s="94">
        <f t="shared" si="32"/>
        <v>454.0856</v>
      </c>
      <c r="S20" s="94">
        <f t="shared" si="33"/>
        <v>3700.2922999999996</v>
      </c>
      <c r="T20" s="94">
        <f t="shared" si="35"/>
        <v>3700292.3</v>
      </c>
      <c r="U20" s="95">
        <f t="shared" si="13"/>
        <v>7570.1482999999998</v>
      </c>
      <c r="V20" s="50">
        <v>12073</v>
      </c>
      <c r="W20" s="50">
        <f t="shared" si="36"/>
        <v>482.92</v>
      </c>
      <c r="X20" s="97">
        <f t="shared" si="15"/>
        <v>13521.760000000002</v>
      </c>
      <c r="Y20" s="98">
        <v>37000</v>
      </c>
      <c r="Z20" s="99">
        <v>26000</v>
      </c>
      <c r="AA20" s="64">
        <f t="shared" si="16"/>
        <v>2600</v>
      </c>
      <c r="AB20" s="65">
        <f t="shared" si="17"/>
        <v>28600</v>
      </c>
      <c r="AC20" s="57">
        <f t="shared" si="18"/>
        <v>11000</v>
      </c>
      <c r="AD20" s="59">
        <f t="shared" si="19"/>
        <v>0.79540139729729731</v>
      </c>
      <c r="AE20" s="59">
        <f t="shared" si="20"/>
        <v>0.70884044999999996</v>
      </c>
      <c r="AF20" s="100">
        <v>35000</v>
      </c>
    </row>
    <row r="21" spans="1:32" s="5" customFormat="1" ht="15.6" x14ac:dyDescent="0.4">
      <c r="A21" s="5" t="s">
        <v>279</v>
      </c>
      <c r="B21" s="143" t="s">
        <v>47</v>
      </c>
      <c r="C21" s="19" t="s">
        <v>25</v>
      </c>
      <c r="D21" s="19" t="s">
        <v>298</v>
      </c>
      <c r="E21" s="4">
        <v>103</v>
      </c>
      <c r="F21" s="26">
        <f t="shared" si="21"/>
        <v>82.4</v>
      </c>
      <c r="G21" s="26">
        <v>0.8</v>
      </c>
      <c r="H21" s="54">
        <v>1000</v>
      </c>
      <c r="I21" s="4">
        <f t="shared" si="2"/>
        <v>3.2960000000000003</v>
      </c>
      <c r="J21" s="91">
        <f t="shared" si="3"/>
        <v>4920.9280000000008</v>
      </c>
      <c r="K21" s="92">
        <f t="shared" si="4"/>
        <v>4920928.0000000009</v>
      </c>
      <c r="L21" s="93">
        <v>16.100000000000001</v>
      </c>
      <c r="M21" s="93">
        <f t="shared" si="34"/>
        <v>16100.000000000002</v>
      </c>
      <c r="N21" s="94">
        <f t="shared" si="28"/>
        <v>982.10000000000014</v>
      </c>
      <c r="O21" s="94">
        <f t="shared" si="29"/>
        <v>1658.3000000000002</v>
      </c>
      <c r="P21" s="94">
        <f t="shared" si="30"/>
        <v>729.48617000000013</v>
      </c>
      <c r="Q21" s="94">
        <f t="shared" si="31"/>
        <v>1381.38</v>
      </c>
      <c r="R21" s="94">
        <f t="shared" si="32"/>
        <v>590.30280000000016</v>
      </c>
      <c r="S21" s="94">
        <f t="shared" si="33"/>
        <v>5341.5689700000012</v>
      </c>
      <c r="T21" s="94">
        <f t="shared" si="35"/>
        <v>5341568.9700000016</v>
      </c>
      <c r="U21" s="95">
        <f t="shared" si="13"/>
        <v>10262.496970000002</v>
      </c>
      <c r="V21" s="50">
        <v>16042</v>
      </c>
      <c r="W21" s="50">
        <f t="shared" si="36"/>
        <v>641.67999999999995</v>
      </c>
      <c r="X21" s="97">
        <f t="shared" si="15"/>
        <v>17967.04</v>
      </c>
      <c r="Y21" s="98">
        <v>42000</v>
      </c>
      <c r="Z21" s="99">
        <v>30000</v>
      </c>
      <c r="AA21" s="64">
        <f t="shared" si="16"/>
        <v>3000</v>
      </c>
      <c r="AB21" s="65">
        <f t="shared" si="17"/>
        <v>33000</v>
      </c>
      <c r="AC21" s="57">
        <f t="shared" si="18"/>
        <v>12000</v>
      </c>
      <c r="AD21" s="59">
        <f t="shared" si="19"/>
        <v>0.75565483404761902</v>
      </c>
      <c r="AE21" s="59">
        <f t="shared" si="20"/>
        <v>0.65791676766666662</v>
      </c>
      <c r="AF21" s="98">
        <v>42000</v>
      </c>
    </row>
    <row r="22" spans="1:32" s="5" customFormat="1" ht="15.6" x14ac:dyDescent="0.4">
      <c r="A22" s="5" t="s">
        <v>280</v>
      </c>
      <c r="B22" s="143" t="s">
        <v>47</v>
      </c>
      <c r="C22" s="19" t="s">
        <v>199</v>
      </c>
      <c r="D22" s="19" t="s">
        <v>300</v>
      </c>
      <c r="E22" s="4">
        <v>100</v>
      </c>
      <c r="F22" s="4">
        <f t="shared" si="21"/>
        <v>80</v>
      </c>
      <c r="G22" s="26">
        <v>0.8</v>
      </c>
      <c r="H22" s="62">
        <v>1</v>
      </c>
      <c r="I22" s="4">
        <f t="shared" si="2"/>
        <v>3.2</v>
      </c>
      <c r="J22" s="90">
        <f t="shared" si="3"/>
        <v>4777.6000000000004</v>
      </c>
      <c r="K22" s="63"/>
      <c r="L22" s="22">
        <v>16.3</v>
      </c>
      <c r="M22" s="22"/>
      <c r="N22" s="14">
        <f t="shared" si="28"/>
        <v>994.30000000000007</v>
      </c>
      <c r="O22" s="14">
        <f t="shared" si="29"/>
        <v>1678.9</v>
      </c>
      <c r="P22" s="14">
        <f t="shared" si="30"/>
        <v>738.54811000000007</v>
      </c>
      <c r="Q22" s="14">
        <f t="shared" si="31"/>
        <v>1398.54</v>
      </c>
      <c r="R22" s="14">
        <f t="shared" si="32"/>
        <v>577.19000000000005</v>
      </c>
      <c r="S22" s="14">
        <f t="shared" si="33"/>
        <v>5387.47811</v>
      </c>
      <c r="T22" s="14"/>
      <c r="U22" s="23">
        <f t="shared" si="13"/>
        <v>10165.07811</v>
      </c>
      <c r="V22" s="50">
        <v>15593</v>
      </c>
      <c r="W22" s="50">
        <f>V22/25</f>
        <v>623.72</v>
      </c>
      <c r="X22" s="97">
        <f t="shared" si="15"/>
        <v>17464.16</v>
      </c>
      <c r="Y22" s="98">
        <v>44000</v>
      </c>
      <c r="Z22" s="99">
        <v>30000</v>
      </c>
      <c r="AA22" s="64">
        <f t="shared" si="16"/>
        <v>3000</v>
      </c>
      <c r="AB22" s="65">
        <f t="shared" si="17"/>
        <v>33000</v>
      </c>
      <c r="AC22" s="57">
        <f t="shared" si="18"/>
        <v>14000</v>
      </c>
      <c r="AD22" s="66">
        <f t="shared" si="19"/>
        <v>0.76897549749999994</v>
      </c>
      <c r="AE22" s="66">
        <f t="shared" si="20"/>
        <v>0.66116406299999997</v>
      </c>
      <c r="AF22" s="98">
        <v>44000</v>
      </c>
    </row>
    <row r="23" spans="1:32" s="5" customFormat="1" ht="15.6" x14ac:dyDescent="0.4">
      <c r="A23" s="5" t="s">
        <v>280</v>
      </c>
      <c r="B23" s="143" t="s">
        <v>47</v>
      </c>
      <c r="C23" s="19" t="s">
        <v>24</v>
      </c>
      <c r="D23" s="19" t="s">
        <v>299</v>
      </c>
      <c r="E23" s="4">
        <v>116</v>
      </c>
      <c r="F23" s="4">
        <f t="shared" si="21"/>
        <v>92.800000000000011</v>
      </c>
      <c r="G23" s="26">
        <v>0.8</v>
      </c>
      <c r="H23" s="62">
        <v>1</v>
      </c>
      <c r="I23" s="4">
        <f t="shared" si="2"/>
        <v>3.7120000000000006</v>
      </c>
      <c r="J23" s="90">
        <f t="shared" si="3"/>
        <v>5542.0160000000005</v>
      </c>
      <c r="K23" s="63"/>
      <c r="L23" s="22">
        <v>18</v>
      </c>
      <c r="M23" s="22"/>
      <c r="N23" s="14">
        <f t="shared" si="28"/>
        <v>1098</v>
      </c>
      <c r="O23" s="14">
        <f t="shared" si="29"/>
        <v>1854</v>
      </c>
      <c r="P23" s="14">
        <f t="shared" si="30"/>
        <v>815.57460000000003</v>
      </c>
      <c r="Q23" s="14">
        <f t="shared" si="31"/>
        <v>1544.3999999999999</v>
      </c>
      <c r="R23" s="14">
        <f t="shared" si="32"/>
        <v>664.00160000000005</v>
      </c>
      <c r="S23" s="14">
        <f t="shared" si="33"/>
        <v>5975.9761999999992</v>
      </c>
      <c r="T23" s="14"/>
      <c r="U23" s="23">
        <f t="shared" si="13"/>
        <v>11517.992200000001</v>
      </c>
      <c r="V23" s="50">
        <v>17413</v>
      </c>
      <c r="W23" s="50">
        <f>V23/25</f>
        <v>696.52</v>
      </c>
      <c r="X23" s="97">
        <f t="shared" si="15"/>
        <v>19502.560000000001</v>
      </c>
      <c r="Y23" s="98">
        <v>51000</v>
      </c>
      <c r="Z23" s="99">
        <v>35000</v>
      </c>
      <c r="AA23" s="64">
        <f t="shared" si="16"/>
        <v>3500</v>
      </c>
      <c r="AB23" s="65">
        <f t="shared" si="17"/>
        <v>38500</v>
      </c>
      <c r="AC23" s="57">
        <f t="shared" si="18"/>
        <v>16000</v>
      </c>
      <c r="AD23" s="66">
        <f t="shared" si="19"/>
        <v>0.77415701568627449</v>
      </c>
      <c r="AE23" s="66">
        <f t="shared" si="20"/>
        <v>0.67091450857142854</v>
      </c>
      <c r="AF23" s="98">
        <v>51000</v>
      </c>
    </row>
    <row r="24" spans="1:32" s="5" customFormat="1" ht="15.6" x14ac:dyDescent="0.4">
      <c r="A24" s="5" t="s">
        <v>280</v>
      </c>
      <c r="B24" s="144" t="s">
        <v>29</v>
      </c>
      <c r="C24" s="60" t="s">
        <v>10</v>
      </c>
      <c r="D24" s="19" t="s">
        <v>301</v>
      </c>
      <c r="E24" s="27">
        <v>79</v>
      </c>
      <c r="F24" s="27">
        <f>E24</f>
        <v>79</v>
      </c>
      <c r="G24" s="27">
        <v>1</v>
      </c>
      <c r="H24" s="62">
        <v>1</v>
      </c>
      <c r="I24" s="27">
        <f t="shared" si="2"/>
        <v>3.16</v>
      </c>
      <c r="J24" s="90">
        <f t="shared" si="3"/>
        <v>4717.88</v>
      </c>
      <c r="K24" s="63"/>
      <c r="L24" s="22">
        <v>11</v>
      </c>
      <c r="M24" s="22"/>
      <c r="N24" s="28">
        <f t="shared" si="28"/>
        <v>671</v>
      </c>
      <c r="O24" s="28">
        <f t="shared" si="29"/>
        <v>1133</v>
      </c>
      <c r="P24" s="28">
        <f t="shared" si="30"/>
        <v>498.4067</v>
      </c>
      <c r="Q24" s="28">
        <f t="shared" si="31"/>
        <v>943.8</v>
      </c>
      <c r="R24" s="28">
        <f t="shared" si="32"/>
        <v>538.88800000000003</v>
      </c>
      <c r="S24" s="14">
        <f t="shared" si="33"/>
        <v>3785.0946999999996</v>
      </c>
      <c r="T24" s="14"/>
      <c r="U24" s="23">
        <f t="shared" si="13"/>
        <v>8502.9746999999988</v>
      </c>
      <c r="V24" s="50">
        <v>10892</v>
      </c>
      <c r="W24" s="50">
        <f>V24/25</f>
        <v>435.68</v>
      </c>
      <c r="X24" s="97">
        <f t="shared" si="15"/>
        <v>12199.04</v>
      </c>
      <c r="Y24" s="98">
        <v>39000</v>
      </c>
      <c r="Z24" s="99">
        <v>26000</v>
      </c>
      <c r="AA24" s="64">
        <f t="shared" si="16"/>
        <v>2600</v>
      </c>
      <c r="AB24" s="65">
        <f t="shared" si="17"/>
        <v>28600</v>
      </c>
      <c r="AC24" s="57">
        <f t="shared" si="18"/>
        <v>13000</v>
      </c>
      <c r="AD24" s="66">
        <f t="shared" si="19"/>
        <v>0.78197500769230777</v>
      </c>
      <c r="AE24" s="66">
        <f t="shared" si="20"/>
        <v>0.67296251153846154</v>
      </c>
      <c r="AF24" s="98">
        <v>39000</v>
      </c>
    </row>
    <row r="25" spans="1:32" s="5" customFormat="1" ht="15.6" x14ac:dyDescent="0.4">
      <c r="A25" s="5" t="s">
        <v>280</v>
      </c>
      <c r="B25" s="144" t="s">
        <v>29</v>
      </c>
      <c r="C25" s="60" t="s">
        <v>11</v>
      </c>
      <c r="D25" s="19" t="s">
        <v>302</v>
      </c>
      <c r="E25" s="27">
        <v>99</v>
      </c>
      <c r="F25" s="27">
        <f t="shared" ref="F25:F40" si="37">E25</f>
        <v>99</v>
      </c>
      <c r="G25" s="27">
        <v>1</v>
      </c>
      <c r="H25" s="62">
        <v>1</v>
      </c>
      <c r="I25" s="27">
        <f t="shared" si="2"/>
        <v>3.96</v>
      </c>
      <c r="J25" s="90">
        <f t="shared" si="3"/>
        <v>5912.28</v>
      </c>
      <c r="K25" s="63"/>
      <c r="L25" s="22">
        <v>15</v>
      </c>
      <c r="M25" s="22"/>
      <c r="N25" s="28">
        <f t="shared" si="28"/>
        <v>915</v>
      </c>
      <c r="O25" s="28">
        <f t="shared" si="29"/>
        <v>1545</v>
      </c>
      <c r="P25" s="28">
        <f t="shared" si="30"/>
        <v>679.64549999999997</v>
      </c>
      <c r="Q25" s="28">
        <f t="shared" si="31"/>
        <v>1287</v>
      </c>
      <c r="R25" s="28">
        <f t="shared" si="32"/>
        <v>682.72800000000007</v>
      </c>
      <c r="S25" s="14">
        <f t="shared" si="33"/>
        <v>5109.3735000000006</v>
      </c>
      <c r="T25" s="14"/>
      <c r="U25" s="23">
        <f t="shared" si="13"/>
        <v>11021.6535</v>
      </c>
      <c r="V25" s="50">
        <v>14034</v>
      </c>
      <c r="W25" s="50">
        <f t="shared" ref="W25:W26" si="38">V25/25</f>
        <v>561.36</v>
      </c>
      <c r="X25" s="97">
        <f t="shared" si="15"/>
        <v>15718.080000000002</v>
      </c>
      <c r="Y25" s="98">
        <v>50000</v>
      </c>
      <c r="Z25" s="99">
        <v>34000</v>
      </c>
      <c r="AA25" s="64">
        <f t="shared" si="16"/>
        <v>3400</v>
      </c>
      <c r="AB25" s="65">
        <f t="shared" si="17"/>
        <v>37400</v>
      </c>
      <c r="AC25" s="57">
        <f t="shared" si="18"/>
        <v>16000</v>
      </c>
      <c r="AD25" s="66">
        <f t="shared" si="19"/>
        <v>0.77956692999999999</v>
      </c>
      <c r="AE25" s="66">
        <f t="shared" si="20"/>
        <v>0.67583372058823532</v>
      </c>
      <c r="AF25" s="98">
        <v>50000</v>
      </c>
    </row>
    <row r="26" spans="1:32" s="5" customFormat="1" ht="15.6" x14ac:dyDescent="0.4">
      <c r="A26" s="5" t="s">
        <v>280</v>
      </c>
      <c r="B26" s="144" t="s">
        <v>29</v>
      </c>
      <c r="C26" s="60" t="s">
        <v>266</v>
      </c>
      <c r="D26" s="19" t="s">
        <v>303</v>
      </c>
      <c r="E26" s="27">
        <v>97</v>
      </c>
      <c r="F26" s="27">
        <f t="shared" si="37"/>
        <v>97</v>
      </c>
      <c r="G26" s="27">
        <v>1</v>
      </c>
      <c r="H26" s="62">
        <v>1</v>
      </c>
      <c r="I26" s="27">
        <f t="shared" si="2"/>
        <v>3.88</v>
      </c>
      <c r="J26" s="90">
        <f t="shared" si="3"/>
        <v>5792.84</v>
      </c>
      <c r="K26" s="63"/>
      <c r="L26" s="22">
        <v>13</v>
      </c>
      <c r="M26" s="22"/>
      <c r="N26" s="28">
        <f t="shared" ref="N26:N30" si="39">L26*61</f>
        <v>793</v>
      </c>
      <c r="O26" s="28">
        <f t="shared" ref="O26:O30" si="40">L26*103</f>
        <v>1339</v>
      </c>
      <c r="P26" s="28">
        <f t="shared" ref="P26:P30" si="41">O26*0.4399</f>
        <v>589.02610000000004</v>
      </c>
      <c r="Q26" s="28">
        <f t="shared" ref="Q26:Q30" si="42">L26*85.8</f>
        <v>1115.3999999999999</v>
      </c>
      <c r="R26" s="28">
        <f t="shared" ref="R26:R30" si="43">(J26+N26)*0.1</f>
        <v>658.58400000000006</v>
      </c>
      <c r="S26" s="14">
        <f t="shared" ref="S26:S30" si="44">SUM(N26:R26)</f>
        <v>4495.0100999999995</v>
      </c>
      <c r="T26" s="14"/>
      <c r="U26" s="23">
        <f t="shared" si="13"/>
        <v>10287.8501</v>
      </c>
      <c r="V26" s="50">
        <v>13419</v>
      </c>
      <c r="W26" s="50">
        <f t="shared" si="38"/>
        <v>536.76</v>
      </c>
      <c r="X26" s="97">
        <f t="shared" si="15"/>
        <v>15029.28</v>
      </c>
      <c r="Y26" s="98">
        <v>49000</v>
      </c>
      <c r="Z26" s="99">
        <v>33000</v>
      </c>
      <c r="AA26" s="64">
        <f t="shared" si="16"/>
        <v>3300</v>
      </c>
      <c r="AB26" s="65">
        <f t="shared" si="17"/>
        <v>36300</v>
      </c>
      <c r="AC26" s="57">
        <f t="shared" si="18"/>
        <v>16000</v>
      </c>
      <c r="AD26" s="66">
        <f t="shared" si="19"/>
        <v>0.79004387551020416</v>
      </c>
      <c r="AE26" s="66">
        <f t="shared" si="20"/>
        <v>0.68824696666666663</v>
      </c>
      <c r="AF26" s="98">
        <v>49000</v>
      </c>
    </row>
    <row r="27" spans="1:32" s="5" customFormat="1" ht="15.6" x14ac:dyDescent="0.4">
      <c r="A27" s="5" t="s">
        <v>280</v>
      </c>
      <c r="B27" s="144" t="s">
        <v>29</v>
      </c>
      <c r="C27" s="60" t="s">
        <v>267</v>
      </c>
      <c r="D27" s="19" t="s">
        <v>304</v>
      </c>
      <c r="E27" s="27">
        <v>108</v>
      </c>
      <c r="F27" s="27">
        <f t="shared" si="37"/>
        <v>108</v>
      </c>
      <c r="G27" s="27">
        <v>1</v>
      </c>
      <c r="H27" s="62">
        <v>1</v>
      </c>
      <c r="I27" s="27">
        <f t="shared" si="2"/>
        <v>4.32</v>
      </c>
      <c r="J27" s="90">
        <f t="shared" si="3"/>
        <v>6449.76</v>
      </c>
      <c r="K27" s="63"/>
      <c r="L27" s="22">
        <v>14.4</v>
      </c>
      <c r="M27" s="22"/>
      <c r="N27" s="28">
        <f t="shared" si="39"/>
        <v>878.4</v>
      </c>
      <c r="O27" s="28">
        <f t="shared" si="40"/>
        <v>1483.2</v>
      </c>
      <c r="P27" s="28">
        <f t="shared" si="41"/>
        <v>652.45968000000005</v>
      </c>
      <c r="Q27" s="28">
        <f t="shared" si="42"/>
        <v>1235.52</v>
      </c>
      <c r="R27" s="28">
        <f t="shared" si="43"/>
        <v>732.81600000000003</v>
      </c>
      <c r="S27" s="14">
        <f t="shared" si="44"/>
        <v>4982.3956799999996</v>
      </c>
      <c r="T27" s="14"/>
      <c r="U27" s="23">
        <f t="shared" si="13"/>
        <v>11432.15568</v>
      </c>
      <c r="V27" s="50"/>
      <c r="W27" s="50"/>
      <c r="X27" s="97"/>
      <c r="Y27" s="98">
        <v>51000</v>
      </c>
      <c r="Z27" s="99">
        <v>34000</v>
      </c>
      <c r="AA27" s="64">
        <f t="shared" si="16"/>
        <v>3400</v>
      </c>
      <c r="AB27" s="65">
        <f t="shared" si="17"/>
        <v>37400</v>
      </c>
      <c r="AC27" s="57">
        <f t="shared" si="18"/>
        <v>17000</v>
      </c>
      <c r="AD27" s="66">
        <f t="shared" si="19"/>
        <v>0.77584008470588239</v>
      </c>
      <c r="AE27" s="66">
        <f t="shared" si="20"/>
        <v>0.66376012705882348</v>
      </c>
      <c r="AF27" s="98">
        <v>51000</v>
      </c>
    </row>
    <row r="28" spans="1:32" s="5" customFormat="1" ht="15.6" x14ac:dyDescent="0.4">
      <c r="A28" s="5" t="s">
        <v>280</v>
      </c>
      <c r="B28" s="144" t="s">
        <v>29</v>
      </c>
      <c r="C28" s="60" t="s">
        <v>268</v>
      </c>
      <c r="D28" s="19" t="s">
        <v>305</v>
      </c>
      <c r="E28" s="27">
        <v>120</v>
      </c>
      <c r="F28" s="27">
        <f t="shared" si="37"/>
        <v>120</v>
      </c>
      <c r="G28" s="27">
        <v>1</v>
      </c>
      <c r="H28" s="62">
        <v>1</v>
      </c>
      <c r="I28" s="27">
        <f t="shared" si="2"/>
        <v>4.8</v>
      </c>
      <c r="J28" s="90">
        <f t="shared" si="3"/>
        <v>7166.4</v>
      </c>
      <c r="K28" s="63"/>
      <c r="L28" s="53">
        <v>18</v>
      </c>
      <c r="M28" s="22"/>
      <c r="N28" s="28">
        <f t="shared" si="39"/>
        <v>1098</v>
      </c>
      <c r="O28" s="28">
        <f t="shared" si="40"/>
        <v>1854</v>
      </c>
      <c r="P28" s="28">
        <f t="shared" si="41"/>
        <v>815.57460000000003</v>
      </c>
      <c r="Q28" s="28">
        <f t="shared" si="42"/>
        <v>1544.3999999999999</v>
      </c>
      <c r="R28" s="28">
        <f t="shared" si="43"/>
        <v>826.44</v>
      </c>
      <c r="S28" s="14">
        <f t="shared" si="44"/>
        <v>6138.4146000000001</v>
      </c>
      <c r="T28" s="14"/>
      <c r="U28" s="23">
        <f t="shared" si="13"/>
        <v>13304.8146</v>
      </c>
      <c r="V28" s="50"/>
      <c r="W28" s="50"/>
      <c r="X28" s="97"/>
      <c r="Y28" s="98">
        <v>55000</v>
      </c>
      <c r="Z28" s="99">
        <v>37000</v>
      </c>
      <c r="AA28" s="64">
        <f t="shared" si="16"/>
        <v>3700</v>
      </c>
      <c r="AB28" s="65">
        <f t="shared" si="17"/>
        <v>40700</v>
      </c>
      <c r="AC28" s="57">
        <f t="shared" si="18"/>
        <v>18000</v>
      </c>
      <c r="AD28" s="66">
        <f t="shared" si="19"/>
        <v>0.75809428000000001</v>
      </c>
      <c r="AE28" s="66">
        <f t="shared" si="20"/>
        <v>0.6404104162162163</v>
      </c>
      <c r="AF28" s="98">
        <v>55000</v>
      </c>
    </row>
    <row r="29" spans="1:32" s="5" customFormat="1" ht="17.399999999999999" customHeight="1" x14ac:dyDescent="0.4">
      <c r="A29" s="5" t="s">
        <v>280</v>
      </c>
      <c r="B29" s="143" t="s">
        <v>31</v>
      </c>
      <c r="C29" s="7" t="s">
        <v>11</v>
      </c>
      <c r="D29" s="19" t="s">
        <v>306</v>
      </c>
      <c r="E29" s="27">
        <v>134</v>
      </c>
      <c r="F29" s="27">
        <f t="shared" si="37"/>
        <v>134</v>
      </c>
      <c r="G29" s="27">
        <v>1</v>
      </c>
      <c r="H29" s="62">
        <v>1</v>
      </c>
      <c r="I29" s="27">
        <f t="shared" si="2"/>
        <v>5.36</v>
      </c>
      <c r="J29" s="90">
        <f t="shared" si="3"/>
        <v>8002.4800000000005</v>
      </c>
      <c r="K29" s="63"/>
      <c r="L29" s="22">
        <v>15</v>
      </c>
      <c r="M29" s="22"/>
      <c r="N29" s="28">
        <f t="shared" si="39"/>
        <v>915</v>
      </c>
      <c r="O29" s="28">
        <f t="shared" si="40"/>
        <v>1545</v>
      </c>
      <c r="P29" s="28">
        <f t="shared" si="41"/>
        <v>679.64549999999997</v>
      </c>
      <c r="Q29" s="28">
        <f t="shared" si="42"/>
        <v>1287</v>
      </c>
      <c r="R29" s="28">
        <f t="shared" si="43"/>
        <v>891.74800000000005</v>
      </c>
      <c r="S29" s="14">
        <f t="shared" si="44"/>
        <v>5318.3935000000001</v>
      </c>
      <c r="T29" s="14"/>
      <c r="U29" s="23">
        <f t="shared" si="13"/>
        <v>13320.873500000002</v>
      </c>
      <c r="V29" s="50"/>
      <c r="W29" s="50">
        <f>622.32*1.12</f>
        <v>696.99840000000017</v>
      </c>
      <c r="X29" s="97">
        <f t="shared" ref="X29:X31" si="45">W29*25</f>
        <v>17424.960000000003</v>
      </c>
      <c r="Y29" s="98">
        <v>56000</v>
      </c>
      <c r="Z29" s="99">
        <v>38000</v>
      </c>
      <c r="AA29" s="64">
        <f t="shared" si="16"/>
        <v>3800</v>
      </c>
      <c r="AB29" s="65">
        <f t="shared" si="17"/>
        <v>41800</v>
      </c>
      <c r="AC29" s="57">
        <f t="shared" si="18"/>
        <v>18000</v>
      </c>
      <c r="AD29" s="66">
        <f t="shared" si="19"/>
        <v>0.76212725892857136</v>
      </c>
      <c r="AE29" s="66">
        <f t="shared" si="20"/>
        <v>0.64945069736842098</v>
      </c>
      <c r="AF29" s="98">
        <v>56000</v>
      </c>
    </row>
    <row r="30" spans="1:32" s="5" customFormat="1" ht="15.6" x14ac:dyDescent="0.4">
      <c r="A30" s="5" t="s">
        <v>279</v>
      </c>
      <c r="B30" s="143" t="s">
        <v>31</v>
      </c>
      <c r="C30" s="60" t="s">
        <v>32</v>
      </c>
      <c r="D30" s="60" t="s">
        <v>307</v>
      </c>
      <c r="E30" s="27">
        <v>118</v>
      </c>
      <c r="F30" s="27">
        <f t="shared" si="37"/>
        <v>118</v>
      </c>
      <c r="G30" s="27">
        <v>1</v>
      </c>
      <c r="H30" s="56">
        <v>500</v>
      </c>
      <c r="I30" s="27">
        <f t="shared" si="2"/>
        <v>4.72</v>
      </c>
      <c r="J30" s="91">
        <f t="shared" si="3"/>
        <v>7046.96</v>
      </c>
      <c r="K30" s="92">
        <f t="shared" si="4"/>
        <v>3523480</v>
      </c>
      <c r="L30" s="93">
        <v>13</v>
      </c>
      <c r="M30" s="93">
        <f t="shared" si="5"/>
        <v>6500</v>
      </c>
      <c r="N30" s="96">
        <f t="shared" si="39"/>
        <v>793</v>
      </c>
      <c r="O30" s="96">
        <f t="shared" si="40"/>
        <v>1339</v>
      </c>
      <c r="P30" s="96">
        <f t="shared" si="41"/>
        <v>589.02610000000004</v>
      </c>
      <c r="Q30" s="96">
        <f t="shared" si="42"/>
        <v>1115.3999999999999</v>
      </c>
      <c r="R30" s="96">
        <f t="shared" si="43"/>
        <v>783.99600000000009</v>
      </c>
      <c r="S30" s="94">
        <f t="shared" si="44"/>
        <v>4620.4220999999998</v>
      </c>
      <c r="T30" s="94">
        <f t="shared" si="12"/>
        <v>2310211.0499999998</v>
      </c>
      <c r="U30" s="95">
        <f t="shared" si="13"/>
        <v>11667.382099999999</v>
      </c>
      <c r="V30" s="50">
        <v>17176</v>
      </c>
      <c r="W30" s="50">
        <f t="shared" ref="W30" si="46">V30/25</f>
        <v>687.04</v>
      </c>
      <c r="X30" s="97">
        <f t="shared" ref="X30" si="47">W30*25</f>
        <v>17176</v>
      </c>
      <c r="Y30" s="98">
        <v>49000</v>
      </c>
      <c r="Z30" s="99">
        <v>36000</v>
      </c>
      <c r="AA30" s="64">
        <f t="shared" si="16"/>
        <v>3600</v>
      </c>
      <c r="AB30" s="65">
        <f t="shared" si="17"/>
        <v>39600</v>
      </c>
      <c r="AC30" s="57">
        <f t="shared" si="18"/>
        <v>13000</v>
      </c>
      <c r="AD30" s="59">
        <f t="shared" si="19"/>
        <v>0.76189016122448971</v>
      </c>
      <c r="AE30" s="59">
        <f t="shared" si="20"/>
        <v>0.67590605277777782</v>
      </c>
      <c r="AF30" s="98">
        <v>49000</v>
      </c>
    </row>
    <row r="31" spans="1:32" s="5" customFormat="1" ht="15.6" x14ac:dyDescent="0.4">
      <c r="A31" s="5" t="s">
        <v>280</v>
      </c>
      <c r="B31" s="143" t="s">
        <v>31</v>
      </c>
      <c r="C31" s="7" t="s">
        <v>30</v>
      </c>
      <c r="D31" s="19" t="s">
        <v>309</v>
      </c>
      <c r="E31" s="27">
        <v>126</v>
      </c>
      <c r="F31" s="27">
        <f t="shared" si="37"/>
        <v>126</v>
      </c>
      <c r="G31" s="27">
        <v>1</v>
      </c>
      <c r="H31" s="62">
        <v>1</v>
      </c>
      <c r="I31" s="27">
        <f t="shared" si="2"/>
        <v>5.04</v>
      </c>
      <c r="J31" s="90">
        <f t="shared" si="3"/>
        <v>7524.72</v>
      </c>
      <c r="K31" s="29"/>
      <c r="L31" s="22">
        <v>13</v>
      </c>
      <c r="M31" s="22"/>
      <c r="N31" s="28">
        <f t="shared" ref="N31:N36" si="48">L31*61</f>
        <v>793</v>
      </c>
      <c r="O31" s="28">
        <f t="shared" ref="O31:O36" si="49">L31*103</f>
        <v>1339</v>
      </c>
      <c r="P31" s="28">
        <f t="shared" ref="P31:P36" si="50">O31*0.4399</f>
        <v>589.02610000000004</v>
      </c>
      <c r="Q31" s="28">
        <f t="shared" ref="Q31:Q36" si="51">L31*85.8</f>
        <v>1115.3999999999999</v>
      </c>
      <c r="R31" s="28">
        <f t="shared" ref="R31:R36" si="52">(J31+N31)*0.1</f>
        <v>831.77200000000016</v>
      </c>
      <c r="S31" s="14">
        <f t="shared" ref="S31:S36" si="53">SUM(N31:R31)</f>
        <v>4668.1980999999996</v>
      </c>
      <c r="T31" s="14"/>
      <c r="U31" s="23">
        <f t="shared" si="13"/>
        <v>12192.918099999999</v>
      </c>
      <c r="V31" s="50">
        <v>18144</v>
      </c>
      <c r="W31" s="50">
        <f t="shared" ref="W31" si="54">V31/25</f>
        <v>725.76</v>
      </c>
      <c r="X31" s="97">
        <f t="shared" si="45"/>
        <v>18144</v>
      </c>
      <c r="Y31" s="98">
        <v>53000</v>
      </c>
      <c r="Z31" s="99">
        <v>36000</v>
      </c>
      <c r="AA31" s="64">
        <f t="shared" si="16"/>
        <v>3600</v>
      </c>
      <c r="AB31" s="65">
        <f t="shared" si="17"/>
        <v>39600</v>
      </c>
      <c r="AC31" s="57">
        <f t="shared" si="18"/>
        <v>17000</v>
      </c>
      <c r="AD31" s="59">
        <f t="shared" si="19"/>
        <v>0.76994494150943404</v>
      </c>
      <c r="AE31" s="59">
        <f t="shared" si="20"/>
        <v>0.66130783055555553</v>
      </c>
      <c r="AF31" s="98">
        <v>53000</v>
      </c>
    </row>
    <row r="32" spans="1:32" s="5" customFormat="1" ht="15.6" x14ac:dyDescent="0.4">
      <c r="A32" s="5" t="s">
        <v>280</v>
      </c>
      <c r="B32" s="143" t="s">
        <v>31</v>
      </c>
      <c r="C32" s="7" t="s">
        <v>27</v>
      </c>
      <c r="D32" s="19" t="s">
        <v>308</v>
      </c>
      <c r="E32" s="53">
        <v>140</v>
      </c>
      <c r="F32" s="27">
        <f t="shared" si="37"/>
        <v>140</v>
      </c>
      <c r="G32" s="27">
        <v>1</v>
      </c>
      <c r="H32" s="54">
        <v>30</v>
      </c>
      <c r="I32" s="27">
        <f t="shared" si="2"/>
        <v>5.6</v>
      </c>
      <c r="J32" s="90">
        <f t="shared" si="3"/>
        <v>8360.7999999999993</v>
      </c>
      <c r="K32" s="55" t="s">
        <v>194</v>
      </c>
      <c r="L32" s="22">
        <v>14.4</v>
      </c>
      <c r="M32" s="53" t="s">
        <v>194</v>
      </c>
      <c r="N32" s="28">
        <f t="shared" si="48"/>
        <v>878.4</v>
      </c>
      <c r="O32" s="28">
        <f t="shared" si="49"/>
        <v>1483.2</v>
      </c>
      <c r="P32" s="28">
        <f t="shared" si="50"/>
        <v>652.45968000000005</v>
      </c>
      <c r="Q32" s="28">
        <f t="shared" si="51"/>
        <v>1235.52</v>
      </c>
      <c r="R32" s="28">
        <f t="shared" si="52"/>
        <v>923.92</v>
      </c>
      <c r="S32" s="14">
        <f t="shared" si="53"/>
        <v>5173.4996799999999</v>
      </c>
      <c r="T32" s="53" t="s">
        <v>194</v>
      </c>
      <c r="U32" s="23">
        <f t="shared" si="13"/>
        <v>13534.29968</v>
      </c>
      <c r="V32" s="4"/>
      <c r="W32" s="4"/>
      <c r="X32" s="90"/>
      <c r="Y32" s="98">
        <v>55000</v>
      </c>
      <c r="Z32" s="99">
        <v>37000</v>
      </c>
      <c r="AA32" s="64">
        <f t="shared" si="16"/>
        <v>3700</v>
      </c>
      <c r="AB32" s="65">
        <f t="shared" si="17"/>
        <v>40700</v>
      </c>
      <c r="AC32" s="57">
        <f t="shared" si="18"/>
        <v>18000</v>
      </c>
      <c r="AD32" s="59">
        <f t="shared" si="19"/>
        <v>0.75392182400000007</v>
      </c>
      <c r="AE32" s="59">
        <f t="shared" si="20"/>
        <v>0.6342081167567567</v>
      </c>
      <c r="AF32" s="98">
        <v>55000</v>
      </c>
    </row>
    <row r="33" spans="1:32" s="5" customFormat="1" ht="15.6" x14ac:dyDescent="0.4">
      <c r="A33" s="5" t="s">
        <v>280</v>
      </c>
      <c r="B33" s="143" t="s">
        <v>31</v>
      </c>
      <c r="C33" s="7" t="s">
        <v>24</v>
      </c>
      <c r="D33" s="19" t="s">
        <v>310</v>
      </c>
      <c r="E33" s="53">
        <v>157</v>
      </c>
      <c r="F33" s="27">
        <f t="shared" si="37"/>
        <v>157</v>
      </c>
      <c r="G33" s="27">
        <v>1</v>
      </c>
      <c r="H33" s="62">
        <v>1</v>
      </c>
      <c r="I33" s="27">
        <f t="shared" si="2"/>
        <v>6.28</v>
      </c>
      <c r="J33" s="90">
        <f t="shared" si="3"/>
        <v>9376.0400000000009</v>
      </c>
      <c r="K33" s="55"/>
      <c r="L33" s="53">
        <v>18</v>
      </c>
      <c r="M33" s="53"/>
      <c r="N33" s="28">
        <f t="shared" si="48"/>
        <v>1098</v>
      </c>
      <c r="O33" s="28">
        <f t="shared" si="49"/>
        <v>1854</v>
      </c>
      <c r="P33" s="28">
        <f t="shared" si="50"/>
        <v>815.57460000000003</v>
      </c>
      <c r="Q33" s="28">
        <f t="shared" si="51"/>
        <v>1544.3999999999999</v>
      </c>
      <c r="R33" s="28">
        <f t="shared" si="52"/>
        <v>1047.4040000000002</v>
      </c>
      <c r="S33" s="14">
        <f t="shared" si="53"/>
        <v>6359.3786</v>
      </c>
      <c r="T33" s="53"/>
      <c r="U33" s="23">
        <f t="shared" si="13"/>
        <v>15735.418600000001</v>
      </c>
      <c r="V33" s="4"/>
      <c r="W33" s="4"/>
      <c r="X33" s="90"/>
      <c r="Y33" s="98">
        <v>60000</v>
      </c>
      <c r="Z33" s="99">
        <v>40000</v>
      </c>
      <c r="AA33" s="64">
        <f t="shared" si="16"/>
        <v>4000</v>
      </c>
      <c r="AB33" s="65">
        <f t="shared" si="17"/>
        <v>44000</v>
      </c>
      <c r="AC33" s="57">
        <f t="shared" si="18"/>
        <v>20000</v>
      </c>
      <c r="AD33" s="59">
        <f t="shared" si="19"/>
        <v>0.7377430233333333</v>
      </c>
      <c r="AE33" s="59">
        <f t="shared" si="20"/>
        <v>0.60661453499999995</v>
      </c>
      <c r="AF33" s="98">
        <v>60000</v>
      </c>
    </row>
    <row r="34" spans="1:32" s="5" customFormat="1" ht="17.399999999999999" customHeight="1" x14ac:dyDescent="0.4">
      <c r="A34" s="5" t="s">
        <v>280</v>
      </c>
      <c r="B34" s="143" t="s">
        <v>73</v>
      </c>
      <c r="C34" s="19" t="s">
        <v>11</v>
      </c>
      <c r="D34" s="19" t="s">
        <v>311</v>
      </c>
      <c r="E34" s="53">
        <v>100</v>
      </c>
      <c r="F34" s="27">
        <f t="shared" si="37"/>
        <v>100</v>
      </c>
      <c r="G34" s="27">
        <v>1</v>
      </c>
      <c r="H34" s="62">
        <v>1</v>
      </c>
      <c r="I34" s="27">
        <f t="shared" si="2"/>
        <v>4</v>
      </c>
      <c r="J34" s="90">
        <f t="shared" si="3"/>
        <v>5972</v>
      </c>
      <c r="K34" s="55"/>
      <c r="L34" s="22">
        <v>15</v>
      </c>
      <c r="M34" s="53"/>
      <c r="N34" s="28">
        <f t="shared" si="48"/>
        <v>915</v>
      </c>
      <c r="O34" s="28">
        <f t="shared" si="49"/>
        <v>1545</v>
      </c>
      <c r="P34" s="28">
        <f t="shared" si="50"/>
        <v>679.64549999999997</v>
      </c>
      <c r="Q34" s="28">
        <f t="shared" si="51"/>
        <v>1287</v>
      </c>
      <c r="R34" s="28">
        <f t="shared" si="52"/>
        <v>688.7</v>
      </c>
      <c r="S34" s="14">
        <f t="shared" si="53"/>
        <v>5115.3455000000004</v>
      </c>
      <c r="T34" s="53"/>
      <c r="U34" s="23">
        <f t="shared" si="13"/>
        <v>11087.345499999999</v>
      </c>
      <c r="V34" s="4"/>
      <c r="W34" s="4"/>
      <c r="X34" s="90"/>
      <c r="Y34" s="98">
        <v>51000</v>
      </c>
      <c r="Z34" s="99">
        <v>34000</v>
      </c>
      <c r="AA34" s="64">
        <f t="shared" si="16"/>
        <v>3400</v>
      </c>
      <c r="AB34" s="65">
        <f t="shared" si="17"/>
        <v>37400</v>
      </c>
      <c r="AC34" s="57">
        <f t="shared" si="18"/>
        <v>17000</v>
      </c>
      <c r="AD34" s="59">
        <f t="shared" si="19"/>
        <v>0.78260106862745105</v>
      </c>
      <c r="AE34" s="59">
        <f t="shared" si="20"/>
        <v>0.67390160294117651</v>
      </c>
      <c r="AF34" s="98">
        <v>51000</v>
      </c>
    </row>
    <row r="35" spans="1:32" s="5" customFormat="1" ht="15.6" x14ac:dyDescent="0.4">
      <c r="A35" s="5" t="s">
        <v>280</v>
      </c>
      <c r="B35" s="143" t="s">
        <v>73</v>
      </c>
      <c r="C35" s="19" t="s">
        <v>27</v>
      </c>
      <c r="D35" s="19" t="s">
        <v>312</v>
      </c>
      <c r="E35" s="53">
        <v>94</v>
      </c>
      <c r="F35" s="27">
        <f t="shared" si="37"/>
        <v>94</v>
      </c>
      <c r="G35" s="27">
        <v>1</v>
      </c>
      <c r="H35" s="54">
        <v>40</v>
      </c>
      <c r="I35" s="27">
        <f t="shared" si="2"/>
        <v>3.76</v>
      </c>
      <c r="J35" s="90">
        <f t="shared" si="3"/>
        <v>5613.6799999999994</v>
      </c>
      <c r="K35" s="55" t="s">
        <v>194</v>
      </c>
      <c r="L35" s="22">
        <v>14.4</v>
      </c>
      <c r="M35" s="53" t="s">
        <v>194</v>
      </c>
      <c r="N35" s="28">
        <f t="shared" si="48"/>
        <v>878.4</v>
      </c>
      <c r="O35" s="28">
        <f t="shared" si="49"/>
        <v>1483.2</v>
      </c>
      <c r="P35" s="28">
        <f t="shared" si="50"/>
        <v>652.45968000000005</v>
      </c>
      <c r="Q35" s="28">
        <f t="shared" si="51"/>
        <v>1235.52</v>
      </c>
      <c r="R35" s="28">
        <f t="shared" si="52"/>
        <v>649.20799999999997</v>
      </c>
      <c r="S35" s="14">
        <f t="shared" si="53"/>
        <v>4898.7876799999995</v>
      </c>
      <c r="T35" s="53" t="s">
        <v>194</v>
      </c>
      <c r="U35" s="23">
        <f t="shared" si="13"/>
        <v>10512.467679999998</v>
      </c>
      <c r="V35" s="4"/>
      <c r="W35" s="4">
        <f>529.46*1.12</f>
        <v>592.99520000000007</v>
      </c>
      <c r="X35" s="97">
        <f t="shared" ref="X35" si="55">W35*25</f>
        <v>14824.880000000001</v>
      </c>
      <c r="Y35" s="98">
        <v>45000</v>
      </c>
      <c r="Z35" s="99">
        <v>30000</v>
      </c>
      <c r="AA35" s="64">
        <f t="shared" si="16"/>
        <v>3000</v>
      </c>
      <c r="AB35" s="65">
        <f t="shared" si="17"/>
        <v>33000</v>
      </c>
      <c r="AC35" s="57">
        <f t="shared" si="18"/>
        <v>15000</v>
      </c>
      <c r="AD35" s="59">
        <f t="shared" si="19"/>
        <v>0.76638960711111104</v>
      </c>
      <c r="AE35" s="59">
        <f t="shared" si="20"/>
        <v>0.64958441066666672</v>
      </c>
      <c r="AF35" s="98">
        <v>45000</v>
      </c>
    </row>
    <row r="36" spans="1:32" s="5" customFormat="1" ht="15.6" x14ac:dyDescent="0.4">
      <c r="A36" s="5" t="s">
        <v>280</v>
      </c>
      <c r="B36" s="143" t="s">
        <v>73</v>
      </c>
      <c r="C36" s="19" t="s">
        <v>268</v>
      </c>
      <c r="D36" s="19" t="s">
        <v>313</v>
      </c>
      <c r="E36" s="53">
        <v>108</v>
      </c>
      <c r="F36" s="27">
        <f t="shared" si="37"/>
        <v>108</v>
      </c>
      <c r="G36" s="27">
        <v>1</v>
      </c>
      <c r="H36" s="62">
        <v>1</v>
      </c>
      <c r="I36" s="27">
        <f t="shared" si="2"/>
        <v>4.32</v>
      </c>
      <c r="J36" s="90">
        <f t="shared" si="3"/>
        <v>6449.76</v>
      </c>
      <c r="K36" s="55"/>
      <c r="L36" s="53">
        <v>18</v>
      </c>
      <c r="M36" s="53"/>
      <c r="N36" s="28">
        <f t="shared" si="48"/>
        <v>1098</v>
      </c>
      <c r="O36" s="28">
        <f t="shared" si="49"/>
        <v>1854</v>
      </c>
      <c r="P36" s="28">
        <f t="shared" si="50"/>
        <v>815.57460000000003</v>
      </c>
      <c r="Q36" s="28">
        <f t="shared" si="51"/>
        <v>1544.3999999999999</v>
      </c>
      <c r="R36" s="28">
        <f t="shared" si="52"/>
        <v>754.77600000000007</v>
      </c>
      <c r="S36" s="14">
        <f t="shared" si="53"/>
        <v>6066.7505999999994</v>
      </c>
      <c r="T36" s="53"/>
      <c r="U36" s="23">
        <f t="shared" si="13"/>
        <v>12516.5106</v>
      </c>
      <c r="V36" s="4"/>
      <c r="W36" s="4"/>
      <c r="X36" s="90"/>
      <c r="Y36" s="98">
        <v>53000</v>
      </c>
      <c r="Z36" s="99">
        <v>36000</v>
      </c>
      <c r="AA36" s="64">
        <f t="shared" ref="AA36:AA40" si="56">Z36*0.1</f>
        <v>3600</v>
      </c>
      <c r="AB36" s="65">
        <f t="shared" ref="AB36:AB40" si="57">AA36+Z36</f>
        <v>39600</v>
      </c>
      <c r="AC36" s="57">
        <f t="shared" ref="AC36:AC40" si="58">Y36-Z36</f>
        <v>17000</v>
      </c>
      <c r="AD36" s="59">
        <f t="shared" ref="AD36:AD40" si="59">(Y36-U36)/Y36</f>
        <v>0.76383942264150939</v>
      </c>
      <c r="AE36" s="59">
        <f t="shared" ref="AE36:AE40" si="60">(Z36-U36)/Z36</f>
        <v>0.65231914999999996</v>
      </c>
      <c r="AF36" s="98">
        <v>53000</v>
      </c>
    </row>
    <row r="37" spans="1:32" s="5" customFormat="1" ht="17.399999999999999" customHeight="1" x14ac:dyDescent="0.4">
      <c r="A37" s="5" t="s">
        <v>280</v>
      </c>
      <c r="B37" s="143" t="s">
        <v>33</v>
      </c>
      <c r="C37" s="19" t="s">
        <v>11</v>
      </c>
      <c r="D37" s="19" t="s">
        <v>314</v>
      </c>
      <c r="E37" s="53">
        <v>141</v>
      </c>
      <c r="F37" s="27">
        <f t="shared" si="37"/>
        <v>141</v>
      </c>
      <c r="G37" s="27">
        <v>1</v>
      </c>
      <c r="H37" s="62">
        <v>1</v>
      </c>
      <c r="I37" s="27">
        <f t="shared" si="2"/>
        <v>5.64</v>
      </c>
      <c r="J37" s="90">
        <f t="shared" si="3"/>
        <v>8420.5199999999986</v>
      </c>
      <c r="K37" s="55"/>
      <c r="L37" s="22">
        <v>15</v>
      </c>
      <c r="M37" s="53"/>
      <c r="N37" s="28">
        <f t="shared" ref="N37:N40" si="61">L37*61</f>
        <v>915</v>
      </c>
      <c r="O37" s="28">
        <f t="shared" ref="O37:O40" si="62">L37*103</f>
        <v>1545</v>
      </c>
      <c r="P37" s="28">
        <f t="shared" ref="P37:P40" si="63">O37*0.4399</f>
        <v>679.64549999999997</v>
      </c>
      <c r="Q37" s="28">
        <f t="shared" ref="Q37:Q40" si="64">L37*85.8</f>
        <v>1287</v>
      </c>
      <c r="R37" s="28">
        <f t="shared" ref="R37:R40" si="65">(J37+N37)*0.1</f>
        <v>933.55199999999991</v>
      </c>
      <c r="S37" s="14">
        <f t="shared" ref="S37:S40" si="66">SUM(N37:R37)</f>
        <v>5360.1975000000002</v>
      </c>
      <c r="T37" s="53"/>
      <c r="U37" s="23">
        <f t="shared" si="13"/>
        <v>13780.717499999999</v>
      </c>
      <c r="V37" s="4"/>
      <c r="W37" s="4">
        <f>691.96*1.12</f>
        <v>774.99520000000007</v>
      </c>
      <c r="X37" s="97">
        <f t="shared" ref="X37" si="67">W37*25</f>
        <v>19374.88</v>
      </c>
      <c r="Y37" s="98">
        <v>57000</v>
      </c>
      <c r="Z37" s="99">
        <v>37000</v>
      </c>
      <c r="AA37" s="64">
        <f t="shared" si="56"/>
        <v>3700</v>
      </c>
      <c r="AB37" s="65">
        <f t="shared" si="57"/>
        <v>40700</v>
      </c>
      <c r="AC37" s="57">
        <f t="shared" si="58"/>
        <v>20000</v>
      </c>
      <c r="AD37" s="59">
        <f t="shared" si="59"/>
        <v>0.75823302631578948</v>
      </c>
      <c r="AE37" s="59">
        <f t="shared" si="60"/>
        <v>0.62754817567567567</v>
      </c>
      <c r="AF37" s="98">
        <v>57000</v>
      </c>
    </row>
    <row r="38" spans="1:32" s="5" customFormat="1" x14ac:dyDescent="0.4">
      <c r="A38" s="5" t="s">
        <v>280</v>
      </c>
      <c r="B38" s="143" t="s">
        <v>33</v>
      </c>
      <c r="C38" s="19" t="s">
        <v>270</v>
      </c>
      <c r="D38" s="19" t="s">
        <v>315</v>
      </c>
      <c r="E38" s="53">
        <v>132</v>
      </c>
      <c r="F38" s="27">
        <f t="shared" si="37"/>
        <v>132</v>
      </c>
      <c r="G38" s="27">
        <v>1</v>
      </c>
      <c r="H38" s="54">
        <v>100</v>
      </c>
      <c r="I38" s="27">
        <f t="shared" si="2"/>
        <v>5.28</v>
      </c>
      <c r="J38" s="90">
        <f t="shared" si="3"/>
        <v>7883.04</v>
      </c>
      <c r="K38" s="55" t="s">
        <v>194</v>
      </c>
      <c r="L38" s="22">
        <v>13</v>
      </c>
      <c r="M38" s="53" t="s">
        <v>194</v>
      </c>
      <c r="N38" s="28">
        <f t="shared" si="61"/>
        <v>793</v>
      </c>
      <c r="O38" s="28">
        <f t="shared" si="62"/>
        <v>1339</v>
      </c>
      <c r="P38" s="28">
        <f t="shared" si="63"/>
        <v>589.02610000000004</v>
      </c>
      <c r="Q38" s="28">
        <f t="shared" si="64"/>
        <v>1115.3999999999999</v>
      </c>
      <c r="R38" s="28">
        <f t="shared" si="65"/>
        <v>867.60400000000016</v>
      </c>
      <c r="S38" s="14">
        <f t="shared" si="66"/>
        <v>4704.0300999999999</v>
      </c>
      <c r="T38" s="53" t="s">
        <v>194</v>
      </c>
      <c r="U38" s="23">
        <f t="shared" si="13"/>
        <v>12587.070100000001</v>
      </c>
      <c r="V38" s="1"/>
      <c r="W38" s="1"/>
      <c r="X38" s="90"/>
      <c r="Y38" s="98">
        <v>53000</v>
      </c>
      <c r="Z38" s="99">
        <v>38000</v>
      </c>
      <c r="AA38" s="64">
        <f t="shared" si="56"/>
        <v>3800</v>
      </c>
      <c r="AB38" s="65">
        <f t="shared" si="57"/>
        <v>41800</v>
      </c>
      <c r="AC38" s="57">
        <f t="shared" si="58"/>
        <v>15000</v>
      </c>
      <c r="AD38" s="59">
        <f t="shared" si="59"/>
        <v>0.7625081113207548</v>
      </c>
      <c r="AE38" s="59">
        <f t="shared" si="60"/>
        <v>0.66876131315789467</v>
      </c>
      <c r="AF38" s="98">
        <v>53000</v>
      </c>
    </row>
    <row r="39" spans="1:32" s="5" customFormat="1" x14ac:dyDescent="0.4">
      <c r="A39" s="5" t="s">
        <v>280</v>
      </c>
      <c r="B39" s="143" t="s">
        <v>33</v>
      </c>
      <c r="C39" s="19" t="s">
        <v>267</v>
      </c>
      <c r="D39" s="19" t="s">
        <v>316</v>
      </c>
      <c r="E39" s="53">
        <v>133</v>
      </c>
      <c r="F39" s="27">
        <f t="shared" si="37"/>
        <v>133</v>
      </c>
      <c r="G39" s="27">
        <v>1</v>
      </c>
      <c r="H39" s="62">
        <v>1</v>
      </c>
      <c r="I39" s="27">
        <f t="shared" si="2"/>
        <v>5.32</v>
      </c>
      <c r="J39" s="90">
        <f t="shared" si="3"/>
        <v>7942.76</v>
      </c>
      <c r="K39" s="55"/>
      <c r="L39" s="22">
        <v>14.4</v>
      </c>
      <c r="M39" s="53"/>
      <c r="N39" s="28">
        <f t="shared" si="61"/>
        <v>878.4</v>
      </c>
      <c r="O39" s="28">
        <f t="shared" si="62"/>
        <v>1483.2</v>
      </c>
      <c r="P39" s="28">
        <f t="shared" si="63"/>
        <v>652.45968000000005</v>
      </c>
      <c r="Q39" s="28">
        <f t="shared" si="64"/>
        <v>1235.52</v>
      </c>
      <c r="R39" s="28">
        <f t="shared" si="65"/>
        <v>882.11599999999999</v>
      </c>
      <c r="S39" s="14">
        <f t="shared" si="66"/>
        <v>5131.6956799999998</v>
      </c>
      <c r="T39" s="53"/>
      <c r="U39" s="23">
        <f t="shared" si="13"/>
        <v>13074.455679999999</v>
      </c>
      <c r="V39" s="1"/>
      <c r="W39" s="1"/>
      <c r="X39" s="90"/>
      <c r="Y39" s="98">
        <v>55000</v>
      </c>
      <c r="Z39" s="99">
        <v>37000</v>
      </c>
      <c r="AA39" s="64">
        <f t="shared" si="56"/>
        <v>3700</v>
      </c>
      <c r="AB39" s="65">
        <f t="shared" si="57"/>
        <v>40700</v>
      </c>
      <c r="AC39" s="57">
        <f t="shared" si="58"/>
        <v>18000</v>
      </c>
      <c r="AD39" s="59">
        <f t="shared" si="59"/>
        <v>0.76228262400000002</v>
      </c>
      <c r="AE39" s="59">
        <f t="shared" si="60"/>
        <v>0.64663633297297296</v>
      </c>
      <c r="AF39" s="98">
        <v>55000</v>
      </c>
    </row>
    <row r="40" spans="1:32" s="5" customFormat="1" x14ac:dyDescent="0.4">
      <c r="A40" s="5" t="s">
        <v>280</v>
      </c>
      <c r="B40" s="143" t="s">
        <v>33</v>
      </c>
      <c r="C40" s="19" t="s">
        <v>268</v>
      </c>
      <c r="D40" s="19" t="s">
        <v>317</v>
      </c>
      <c r="E40" s="53">
        <v>153</v>
      </c>
      <c r="F40" s="27">
        <f t="shared" si="37"/>
        <v>153</v>
      </c>
      <c r="G40" s="27">
        <v>1</v>
      </c>
      <c r="H40" s="62">
        <v>1</v>
      </c>
      <c r="I40" s="27">
        <f t="shared" si="2"/>
        <v>6.12</v>
      </c>
      <c r="J40" s="90">
        <f t="shared" si="3"/>
        <v>9137.16</v>
      </c>
      <c r="K40" s="55"/>
      <c r="L40" s="53">
        <v>18</v>
      </c>
      <c r="M40" s="53"/>
      <c r="N40" s="28">
        <f t="shared" si="61"/>
        <v>1098</v>
      </c>
      <c r="O40" s="28">
        <f t="shared" si="62"/>
        <v>1854</v>
      </c>
      <c r="P40" s="28">
        <f t="shared" si="63"/>
        <v>815.57460000000003</v>
      </c>
      <c r="Q40" s="28">
        <f t="shared" si="64"/>
        <v>1544.3999999999999</v>
      </c>
      <c r="R40" s="28">
        <f t="shared" si="65"/>
        <v>1023.5160000000001</v>
      </c>
      <c r="S40" s="14">
        <f t="shared" si="66"/>
        <v>6335.4905999999992</v>
      </c>
      <c r="T40" s="53"/>
      <c r="U40" s="23">
        <f t="shared" si="13"/>
        <v>15472.650599999999</v>
      </c>
      <c r="V40" s="1"/>
      <c r="W40" s="1"/>
      <c r="X40" s="90"/>
      <c r="Y40" s="98">
        <v>65000</v>
      </c>
      <c r="Z40" s="99">
        <v>44000</v>
      </c>
      <c r="AA40" s="64">
        <f t="shared" si="56"/>
        <v>4400</v>
      </c>
      <c r="AB40" s="65">
        <f t="shared" si="57"/>
        <v>48400</v>
      </c>
      <c r="AC40" s="57">
        <f t="shared" si="58"/>
        <v>21000</v>
      </c>
      <c r="AD40" s="59">
        <f t="shared" si="59"/>
        <v>0.76195922153846152</v>
      </c>
      <c r="AE40" s="59">
        <f t="shared" si="60"/>
        <v>0.64834884999999998</v>
      </c>
      <c r="AF40" s="98">
        <v>65000</v>
      </c>
    </row>
    <row r="41" spans="1:32" s="5" customFormat="1" x14ac:dyDescent="0.4">
      <c r="A41" s="5" t="s">
        <v>280</v>
      </c>
      <c r="B41" s="40" t="s">
        <v>108</v>
      </c>
      <c r="C41" s="52" t="s">
        <v>25</v>
      </c>
      <c r="D41" s="19" t="s">
        <v>318</v>
      </c>
      <c r="E41" s="89">
        <v>666</v>
      </c>
      <c r="F41" s="55">
        <v>666</v>
      </c>
      <c r="G41" s="27">
        <v>1</v>
      </c>
      <c r="H41" s="55">
        <v>1</v>
      </c>
      <c r="I41" s="27">
        <f t="shared" ref="I41" si="68">F41/25</f>
        <v>26.64</v>
      </c>
      <c r="J41" s="90">
        <f t="shared" ref="J41" si="69">I41*1493</f>
        <v>39773.520000000004</v>
      </c>
      <c r="K41" s="55" t="s">
        <v>194</v>
      </c>
      <c r="L41" s="53">
        <v>14.4</v>
      </c>
      <c r="M41" s="53" t="s">
        <v>194</v>
      </c>
      <c r="N41" s="28">
        <f t="shared" ref="N41" si="70">L41*61</f>
        <v>878.4</v>
      </c>
      <c r="O41" s="28">
        <f t="shared" ref="O41" si="71">L41*103</f>
        <v>1483.2</v>
      </c>
      <c r="P41" s="28">
        <f t="shared" ref="P41" si="72">O41*0.4399</f>
        <v>652.45968000000005</v>
      </c>
      <c r="Q41" s="28">
        <f t="shared" ref="Q41" si="73">L41*85.8</f>
        <v>1235.52</v>
      </c>
      <c r="R41" s="28">
        <f t="shared" ref="R41" si="74">(J41+N41)*0.1</f>
        <v>4065.1920000000009</v>
      </c>
      <c r="S41" s="14">
        <f t="shared" ref="S41" si="75">SUM(N41:R41)</f>
        <v>8314.7716800000017</v>
      </c>
      <c r="T41" s="53" t="s">
        <v>194</v>
      </c>
      <c r="U41" s="41">
        <v>40000</v>
      </c>
      <c r="V41" s="1"/>
      <c r="W41" s="1"/>
      <c r="X41" s="90"/>
      <c r="Y41" s="98">
        <v>70000</v>
      </c>
      <c r="Z41" s="99">
        <v>48000</v>
      </c>
      <c r="AA41" s="64">
        <f t="shared" si="16"/>
        <v>4800</v>
      </c>
      <c r="AB41" s="65">
        <f t="shared" si="17"/>
        <v>52800</v>
      </c>
      <c r="AC41" s="57">
        <f t="shared" si="18"/>
        <v>22000</v>
      </c>
      <c r="AD41" s="59">
        <f t="shared" si="19"/>
        <v>0.42857142857142855</v>
      </c>
      <c r="AE41" s="59">
        <f t="shared" si="20"/>
        <v>0.16666666666666666</v>
      </c>
      <c r="AF41" s="98">
        <v>70000</v>
      </c>
    </row>
    <row r="42" spans="1:32" x14ac:dyDescent="0.4">
      <c r="K42" s="30"/>
      <c r="U42" s="30"/>
    </row>
  </sheetData>
  <mergeCells count="11">
    <mergeCell ref="Y1:AC1"/>
    <mergeCell ref="L1:L2"/>
    <mergeCell ref="M1:M2"/>
    <mergeCell ref="E1:K1"/>
    <mergeCell ref="B1:C1"/>
    <mergeCell ref="AD1:AE1"/>
    <mergeCell ref="V1:X1"/>
    <mergeCell ref="N1:R1"/>
    <mergeCell ref="U1:U2"/>
    <mergeCell ref="S1:S2"/>
    <mergeCell ref="T1:T2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D57B5-5ECA-430E-B66E-9739B3850B31}">
  <sheetPr>
    <tabColor rgb="FF92D050"/>
  </sheetPr>
  <dimension ref="A1:M56"/>
  <sheetViews>
    <sheetView zoomScale="90" zoomScaleNormal="90" workbookViewId="0">
      <pane xSplit="1" topLeftCell="B1" activePane="topRight" state="frozen"/>
      <selection pane="topRight" activeCell="F22" sqref="F22"/>
    </sheetView>
  </sheetViews>
  <sheetFormatPr defaultRowHeight="17.399999999999999" x14ac:dyDescent="0.4"/>
  <cols>
    <col min="1" max="1" width="34" bestFit="1" customWidth="1"/>
    <col min="2" max="2" width="8.19921875" bestFit="1" customWidth="1"/>
    <col min="3" max="3" width="20.09765625" style="2" bestFit="1" customWidth="1"/>
    <col min="4" max="4" width="57.8984375" hidden="1" customWidth="1"/>
    <col min="5" max="5" width="12.796875" bestFit="1" customWidth="1"/>
    <col min="6" max="6" width="7.69921875" customWidth="1"/>
    <col min="7" max="7" width="6.296875" customWidth="1"/>
    <col min="8" max="8" width="10.09765625" customWidth="1"/>
    <col min="9" max="9" width="32.19921875" customWidth="1"/>
    <col min="10" max="10" width="8.796875" customWidth="1"/>
    <col min="11" max="11" width="13.796875" bestFit="1" customWidth="1"/>
    <col min="12" max="12" width="12.09765625" bestFit="1" customWidth="1"/>
    <col min="13" max="13" width="16.8984375" bestFit="1" customWidth="1"/>
  </cols>
  <sheetData>
    <row r="1" spans="1:13" x14ac:dyDescent="0.4">
      <c r="J1" s="119" t="s">
        <v>181</v>
      </c>
      <c r="K1" s="119"/>
      <c r="L1" s="119"/>
    </row>
    <row r="2" spans="1:13" s="5" customFormat="1" ht="15.6" x14ac:dyDescent="0.4">
      <c r="A2" s="38" t="s">
        <v>8</v>
      </c>
      <c r="B2" s="38" t="s">
        <v>174</v>
      </c>
      <c r="C2" s="38" t="s">
        <v>125</v>
      </c>
      <c r="D2" s="39" t="s">
        <v>97</v>
      </c>
      <c r="E2" s="39" t="s">
        <v>98</v>
      </c>
      <c r="F2" s="39" t="s">
        <v>99</v>
      </c>
      <c r="G2" s="39" t="s">
        <v>100</v>
      </c>
      <c r="H2" s="39" t="s">
        <v>101</v>
      </c>
      <c r="I2" s="39" t="s">
        <v>127</v>
      </c>
      <c r="J2" s="51" t="s">
        <v>182</v>
      </c>
      <c r="K2" s="51" t="s">
        <v>183</v>
      </c>
      <c r="L2" s="51" t="s">
        <v>180</v>
      </c>
      <c r="M2" s="39" t="s">
        <v>184</v>
      </c>
    </row>
    <row r="3" spans="1:13" s="5" customFormat="1" ht="15.6" x14ac:dyDescent="0.4">
      <c r="A3" s="48" t="s">
        <v>102</v>
      </c>
      <c r="B3" s="48" t="s">
        <v>175</v>
      </c>
      <c r="C3" s="45" t="s">
        <v>79</v>
      </c>
      <c r="D3" s="42" t="s">
        <v>121</v>
      </c>
      <c r="E3" s="44" t="s">
        <v>122</v>
      </c>
      <c r="F3" s="44" t="s">
        <v>179</v>
      </c>
      <c r="G3" s="44"/>
      <c r="H3" s="42" t="s">
        <v>109</v>
      </c>
      <c r="I3" s="42" t="s">
        <v>126</v>
      </c>
      <c r="J3" s="43"/>
      <c r="K3" s="43">
        <v>520</v>
      </c>
      <c r="L3" s="43">
        <f t="shared" ref="L3:L7" si="0">K3*25</f>
        <v>13000</v>
      </c>
      <c r="M3" s="4"/>
    </row>
    <row r="4" spans="1:13" s="5" customFormat="1" ht="15.6" x14ac:dyDescent="0.4">
      <c r="A4" s="48" t="s">
        <v>103</v>
      </c>
      <c r="B4" s="48" t="s">
        <v>175</v>
      </c>
      <c r="C4" s="45" t="s">
        <v>79</v>
      </c>
      <c r="D4" s="42" t="s">
        <v>129</v>
      </c>
      <c r="E4" s="44" t="s">
        <v>124</v>
      </c>
      <c r="F4" s="44" t="s">
        <v>179</v>
      </c>
      <c r="G4" s="44"/>
      <c r="H4" s="42" t="s">
        <v>109</v>
      </c>
      <c r="I4" s="42" t="s">
        <v>130</v>
      </c>
      <c r="J4" s="43"/>
      <c r="K4" s="49">
        <v>520</v>
      </c>
      <c r="L4" s="43">
        <f t="shared" si="0"/>
        <v>13000</v>
      </c>
      <c r="M4" s="4"/>
    </row>
    <row r="5" spans="1:13" s="5" customFormat="1" ht="15.6" x14ac:dyDescent="0.4">
      <c r="A5" s="48" t="s">
        <v>104</v>
      </c>
      <c r="B5" s="48" t="s">
        <v>175</v>
      </c>
      <c r="C5" s="45" t="s">
        <v>79</v>
      </c>
      <c r="D5" s="42" t="s">
        <v>131</v>
      </c>
      <c r="E5" s="44" t="s">
        <v>124</v>
      </c>
      <c r="F5" s="44" t="s">
        <v>179</v>
      </c>
      <c r="G5" s="44"/>
      <c r="H5" s="42" t="s">
        <v>109</v>
      </c>
      <c r="I5" s="42" t="s">
        <v>151</v>
      </c>
      <c r="J5" s="43"/>
      <c r="K5" s="49">
        <v>520</v>
      </c>
      <c r="L5" s="43">
        <f t="shared" si="0"/>
        <v>13000</v>
      </c>
      <c r="M5" s="4"/>
    </row>
    <row r="6" spans="1:13" s="5" customFormat="1" ht="15.6" x14ac:dyDescent="0.4">
      <c r="A6" s="48" t="s">
        <v>105</v>
      </c>
      <c r="B6" s="48" t="s">
        <v>175</v>
      </c>
      <c r="C6" s="45" t="s">
        <v>79</v>
      </c>
      <c r="D6" s="42" t="s">
        <v>123</v>
      </c>
      <c r="E6" s="44" t="s">
        <v>124</v>
      </c>
      <c r="F6" s="44" t="s">
        <v>179</v>
      </c>
      <c r="G6" s="44"/>
      <c r="H6" s="42" t="s">
        <v>109</v>
      </c>
      <c r="I6" s="42" t="s">
        <v>159</v>
      </c>
      <c r="J6" s="43"/>
      <c r="K6" s="49">
        <v>520</v>
      </c>
      <c r="L6" s="43">
        <f t="shared" si="0"/>
        <v>13000</v>
      </c>
      <c r="M6" s="4"/>
    </row>
    <row r="7" spans="1:13" s="5" customFormat="1" ht="15.6" x14ac:dyDescent="0.4">
      <c r="A7" s="48" t="s">
        <v>106</v>
      </c>
      <c r="B7" s="48" t="s">
        <v>175</v>
      </c>
      <c r="C7" s="45" t="s">
        <v>79</v>
      </c>
      <c r="D7" s="42" t="s">
        <v>128</v>
      </c>
      <c r="E7" s="44" t="s">
        <v>122</v>
      </c>
      <c r="F7" s="44" t="s">
        <v>179</v>
      </c>
      <c r="G7" s="44"/>
      <c r="H7" s="42" t="s">
        <v>109</v>
      </c>
      <c r="I7" s="42" t="s">
        <v>160</v>
      </c>
      <c r="J7" s="43"/>
      <c r="K7" s="49">
        <v>520</v>
      </c>
      <c r="L7" s="43">
        <f t="shared" si="0"/>
        <v>13000</v>
      </c>
      <c r="M7" s="4"/>
    </row>
    <row r="8" spans="1:13" s="5" customFormat="1" ht="15.6" x14ac:dyDescent="0.4">
      <c r="A8" s="114" t="s">
        <v>34</v>
      </c>
      <c r="B8" s="48" t="s">
        <v>175</v>
      </c>
      <c r="C8" s="19" t="s">
        <v>190</v>
      </c>
      <c r="D8" s="42" t="s">
        <v>132</v>
      </c>
      <c r="E8" s="44" t="s">
        <v>242</v>
      </c>
      <c r="F8" s="43" t="s">
        <v>115</v>
      </c>
      <c r="G8" s="43">
        <v>37</v>
      </c>
      <c r="H8" s="42" t="s">
        <v>110</v>
      </c>
      <c r="I8" s="117" t="s">
        <v>152</v>
      </c>
      <c r="J8" s="49">
        <v>2930</v>
      </c>
      <c r="K8" s="49">
        <f t="shared" ref="K8:K31" si="1">J8/25</f>
        <v>117.2</v>
      </c>
      <c r="L8" s="43">
        <f t="shared" ref="L8:L37" si="2">K8*25</f>
        <v>2930</v>
      </c>
      <c r="M8" s="4"/>
    </row>
    <row r="9" spans="1:13" s="5" customFormat="1" ht="15.6" x14ac:dyDescent="0.4">
      <c r="A9" s="115"/>
      <c r="B9" s="48" t="s">
        <v>175</v>
      </c>
      <c r="C9" s="19" t="s">
        <v>191</v>
      </c>
      <c r="D9" s="42" t="s">
        <v>133</v>
      </c>
      <c r="E9" s="44" t="s">
        <v>124</v>
      </c>
      <c r="F9" s="43" t="s">
        <v>114</v>
      </c>
      <c r="G9" s="43">
        <v>50</v>
      </c>
      <c r="H9" s="42" t="s">
        <v>111</v>
      </c>
      <c r="I9" s="117"/>
      <c r="J9" s="49">
        <v>4253</v>
      </c>
      <c r="K9" s="49">
        <f t="shared" si="1"/>
        <v>170.12</v>
      </c>
      <c r="L9" s="43">
        <f t="shared" si="2"/>
        <v>4253</v>
      </c>
      <c r="M9" s="8">
        <v>49</v>
      </c>
    </row>
    <row r="10" spans="1:13" s="5" customFormat="1" ht="15.6" x14ac:dyDescent="0.4">
      <c r="A10" s="115"/>
      <c r="B10" s="47"/>
      <c r="C10" s="45" t="s">
        <v>165</v>
      </c>
      <c r="D10" s="45"/>
      <c r="E10" s="47"/>
      <c r="F10" s="46" t="s">
        <v>166</v>
      </c>
      <c r="G10" s="46">
        <v>34</v>
      </c>
      <c r="H10" s="45"/>
      <c r="I10" s="45"/>
      <c r="J10" s="50">
        <v>2009</v>
      </c>
      <c r="K10" s="50">
        <f t="shared" si="1"/>
        <v>80.36</v>
      </c>
      <c r="L10" s="46">
        <f t="shared" si="2"/>
        <v>2009</v>
      </c>
      <c r="M10" s="6">
        <v>22</v>
      </c>
    </row>
    <row r="11" spans="1:13" s="5" customFormat="1" ht="15.6" x14ac:dyDescent="0.4">
      <c r="A11" s="115"/>
      <c r="B11" s="47"/>
      <c r="C11" s="45" t="s">
        <v>10</v>
      </c>
      <c r="D11" s="45"/>
      <c r="E11" s="47"/>
      <c r="F11" s="46" t="s">
        <v>116</v>
      </c>
      <c r="G11" s="46">
        <v>44</v>
      </c>
      <c r="H11" s="45"/>
      <c r="I11" s="45"/>
      <c r="J11" s="50">
        <v>3899</v>
      </c>
      <c r="K11" s="50">
        <f t="shared" si="1"/>
        <v>155.96</v>
      </c>
      <c r="L11" s="46">
        <f t="shared" si="2"/>
        <v>3899</v>
      </c>
      <c r="M11" s="6">
        <v>45</v>
      </c>
    </row>
    <row r="12" spans="1:13" s="5" customFormat="1" ht="15.6" x14ac:dyDescent="0.4">
      <c r="A12" s="115"/>
      <c r="B12" s="47"/>
      <c r="C12" s="45" t="s">
        <v>167</v>
      </c>
      <c r="D12" s="45"/>
      <c r="E12" s="47"/>
      <c r="F12" s="46" t="s">
        <v>168</v>
      </c>
      <c r="G12" s="46">
        <v>44</v>
      </c>
      <c r="H12" s="45"/>
      <c r="I12" s="45"/>
      <c r="J12" s="50">
        <v>4419</v>
      </c>
      <c r="K12" s="50">
        <f t="shared" si="1"/>
        <v>176.76</v>
      </c>
      <c r="L12" s="46">
        <f t="shared" si="2"/>
        <v>4419</v>
      </c>
      <c r="M12" s="6">
        <v>51</v>
      </c>
    </row>
    <row r="13" spans="1:13" s="5" customFormat="1" ht="15.6" x14ac:dyDescent="0.4">
      <c r="A13" s="115"/>
      <c r="B13" s="47"/>
      <c r="C13" s="102" t="s">
        <v>199</v>
      </c>
      <c r="D13" s="42"/>
      <c r="E13" s="44"/>
      <c r="F13" s="43" t="s">
        <v>163</v>
      </c>
      <c r="G13" s="43">
        <v>52</v>
      </c>
      <c r="H13" s="45"/>
      <c r="I13" s="45"/>
      <c r="J13" s="50">
        <v>4914</v>
      </c>
      <c r="K13" s="50">
        <f t="shared" si="1"/>
        <v>196.56</v>
      </c>
      <c r="L13" s="46">
        <f t="shared" si="2"/>
        <v>4914</v>
      </c>
      <c r="M13" s="4"/>
    </row>
    <row r="14" spans="1:13" s="5" customFormat="1" ht="15.6" x14ac:dyDescent="0.4">
      <c r="A14" s="115"/>
      <c r="B14" s="47"/>
      <c r="C14" s="45" t="s">
        <v>169</v>
      </c>
      <c r="D14" s="45"/>
      <c r="E14" s="47"/>
      <c r="F14" s="46" t="s">
        <v>170</v>
      </c>
      <c r="G14" s="46">
        <v>41</v>
      </c>
      <c r="H14" s="45"/>
      <c r="I14" s="45"/>
      <c r="J14" s="50">
        <v>2245</v>
      </c>
      <c r="K14" s="50">
        <f t="shared" si="1"/>
        <v>89.8</v>
      </c>
      <c r="L14" s="46">
        <f t="shared" si="2"/>
        <v>2245</v>
      </c>
      <c r="M14" s="6">
        <v>21</v>
      </c>
    </row>
    <row r="15" spans="1:13" s="5" customFormat="1" ht="15.6" x14ac:dyDescent="0.4">
      <c r="A15" s="115"/>
      <c r="B15" s="47"/>
      <c r="C15" s="45" t="s">
        <v>171</v>
      </c>
      <c r="D15" s="45"/>
      <c r="E15" s="47"/>
      <c r="F15" s="46" t="s">
        <v>172</v>
      </c>
      <c r="G15" s="46">
        <v>41</v>
      </c>
      <c r="H15" s="45"/>
      <c r="I15" s="45"/>
      <c r="J15" s="50">
        <v>2340</v>
      </c>
      <c r="K15" s="50">
        <f t="shared" si="1"/>
        <v>93.6</v>
      </c>
      <c r="L15" s="46">
        <f t="shared" si="2"/>
        <v>2340</v>
      </c>
      <c r="M15" s="6">
        <v>26</v>
      </c>
    </row>
    <row r="16" spans="1:13" s="5" customFormat="1" ht="15.6" x14ac:dyDescent="0.4">
      <c r="A16" s="116"/>
      <c r="B16" s="47"/>
      <c r="C16" s="45" t="s">
        <v>173</v>
      </c>
      <c r="D16" s="45"/>
      <c r="E16" s="47"/>
      <c r="F16" s="46" t="s">
        <v>116</v>
      </c>
      <c r="G16" s="46">
        <v>44</v>
      </c>
      <c r="H16" s="45"/>
      <c r="I16" s="45"/>
      <c r="J16" s="50">
        <v>3805</v>
      </c>
      <c r="K16" s="50">
        <f t="shared" si="1"/>
        <v>152.19999999999999</v>
      </c>
      <c r="L16" s="46">
        <f t="shared" si="2"/>
        <v>3804.9999999999995</v>
      </c>
      <c r="M16" s="6">
        <v>45</v>
      </c>
    </row>
    <row r="17" spans="1:13" s="5" customFormat="1" ht="15.6" x14ac:dyDescent="0.4">
      <c r="A17" s="114" t="s">
        <v>57</v>
      </c>
      <c r="B17" s="48" t="s">
        <v>175</v>
      </c>
      <c r="C17" s="19" t="s">
        <v>192</v>
      </c>
      <c r="D17" s="42" t="s">
        <v>134</v>
      </c>
      <c r="E17" s="44" t="s">
        <v>122</v>
      </c>
      <c r="F17" s="43" t="s">
        <v>116</v>
      </c>
      <c r="G17" s="43">
        <v>44</v>
      </c>
      <c r="H17" s="42" t="s">
        <v>111</v>
      </c>
      <c r="I17" s="117" t="s">
        <v>153</v>
      </c>
      <c r="J17" s="49">
        <v>3190</v>
      </c>
      <c r="K17" s="49">
        <f t="shared" si="1"/>
        <v>127.6</v>
      </c>
      <c r="L17" s="43">
        <f t="shared" si="2"/>
        <v>3190</v>
      </c>
      <c r="M17" s="13">
        <v>33</v>
      </c>
    </row>
    <row r="18" spans="1:13" s="5" customFormat="1" ht="15.6" x14ac:dyDescent="0.4">
      <c r="A18" s="115"/>
      <c r="B18" s="48" t="s">
        <v>175</v>
      </c>
      <c r="C18" s="19" t="s">
        <v>191</v>
      </c>
      <c r="D18" s="42" t="s">
        <v>135</v>
      </c>
      <c r="E18" s="44" t="s">
        <v>122</v>
      </c>
      <c r="F18" s="43" t="s">
        <v>114</v>
      </c>
      <c r="G18" s="43">
        <v>50</v>
      </c>
      <c r="H18" s="42" t="s">
        <v>113</v>
      </c>
      <c r="I18" s="117"/>
      <c r="J18" s="49">
        <v>4158</v>
      </c>
      <c r="K18" s="49">
        <f t="shared" si="1"/>
        <v>166.32</v>
      </c>
      <c r="L18" s="43">
        <f t="shared" si="2"/>
        <v>4158</v>
      </c>
      <c r="M18" s="17">
        <v>48</v>
      </c>
    </row>
    <row r="19" spans="1:13" s="5" customFormat="1" ht="15.6" x14ac:dyDescent="0.4">
      <c r="A19" s="115"/>
      <c r="B19" s="45"/>
      <c r="C19" s="45" t="s">
        <v>165</v>
      </c>
      <c r="D19" s="45"/>
      <c r="E19" s="47"/>
      <c r="F19" s="46" t="s">
        <v>166</v>
      </c>
      <c r="G19" s="46">
        <v>34</v>
      </c>
      <c r="H19" s="45"/>
      <c r="I19" s="45"/>
      <c r="J19" s="50">
        <v>1938</v>
      </c>
      <c r="K19" s="50">
        <f t="shared" si="1"/>
        <v>77.52</v>
      </c>
      <c r="L19" s="46">
        <f t="shared" si="2"/>
        <v>1938</v>
      </c>
      <c r="M19" s="11">
        <v>21</v>
      </c>
    </row>
    <row r="20" spans="1:13" s="5" customFormat="1" ht="15.6" x14ac:dyDescent="0.4">
      <c r="A20" s="115"/>
      <c r="B20" s="45"/>
      <c r="C20" s="19" t="s">
        <v>197</v>
      </c>
      <c r="D20" s="45"/>
      <c r="E20" s="47"/>
      <c r="F20" s="46" t="s">
        <v>168</v>
      </c>
      <c r="G20" s="46">
        <v>44</v>
      </c>
      <c r="H20" s="45"/>
      <c r="I20" s="45"/>
      <c r="J20" s="50">
        <v>3591</v>
      </c>
      <c r="K20" s="50">
        <f t="shared" si="1"/>
        <v>143.63999999999999</v>
      </c>
      <c r="L20" s="46">
        <f t="shared" si="2"/>
        <v>3590.9999999999995</v>
      </c>
      <c r="M20" s="11">
        <v>41</v>
      </c>
    </row>
    <row r="21" spans="1:13" s="5" customFormat="1" ht="15.6" x14ac:dyDescent="0.4">
      <c r="A21" s="116"/>
      <c r="B21" s="45"/>
      <c r="C21" s="45" t="s">
        <v>178</v>
      </c>
      <c r="D21" s="45"/>
      <c r="E21" s="47"/>
      <c r="F21" s="46" t="s">
        <v>170</v>
      </c>
      <c r="G21" s="46">
        <v>41</v>
      </c>
      <c r="H21" s="45"/>
      <c r="I21" s="45"/>
      <c r="J21" s="50">
        <v>2245</v>
      </c>
      <c r="K21" s="50">
        <f t="shared" si="1"/>
        <v>89.8</v>
      </c>
      <c r="L21" s="46">
        <f t="shared" si="2"/>
        <v>2245</v>
      </c>
      <c r="M21" s="11">
        <v>25</v>
      </c>
    </row>
    <row r="22" spans="1:13" s="5" customFormat="1" ht="15.6" x14ac:dyDescent="0.4">
      <c r="A22" s="118" t="s">
        <v>107</v>
      </c>
      <c r="B22" s="48" t="s">
        <v>175</v>
      </c>
      <c r="C22" s="19" t="s">
        <v>192</v>
      </c>
      <c r="D22" s="42" t="s">
        <v>136</v>
      </c>
      <c r="E22" s="44" t="s">
        <v>242</v>
      </c>
      <c r="F22" s="43" t="s">
        <v>116</v>
      </c>
      <c r="G22" s="43">
        <v>44</v>
      </c>
      <c r="H22" s="42" t="s">
        <v>111</v>
      </c>
      <c r="I22" s="117" t="s">
        <v>154</v>
      </c>
      <c r="J22" s="49">
        <v>8813</v>
      </c>
      <c r="K22" s="49">
        <f t="shared" si="1"/>
        <v>352.52</v>
      </c>
      <c r="L22" s="43">
        <f t="shared" si="2"/>
        <v>8813</v>
      </c>
      <c r="M22" s="13">
        <v>53</v>
      </c>
    </row>
    <row r="23" spans="1:13" s="5" customFormat="1" ht="15.6" x14ac:dyDescent="0.4">
      <c r="A23" s="118"/>
      <c r="B23" s="48" t="s">
        <v>175</v>
      </c>
      <c r="C23" s="19" t="s">
        <v>191</v>
      </c>
      <c r="D23" s="42" t="s">
        <v>138</v>
      </c>
      <c r="E23" s="44" t="s">
        <v>242</v>
      </c>
      <c r="F23" s="43" t="s">
        <v>114</v>
      </c>
      <c r="G23" s="43">
        <v>50</v>
      </c>
      <c r="H23" s="42" t="s">
        <v>113</v>
      </c>
      <c r="I23" s="117"/>
      <c r="J23" s="49">
        <v>10939</v>
      </c>
      <c r="K23" s="49">
        <f t="shared" si="1"/>
        <v>437.56</v>
      </c>
      <c r="L23" s="43">
        <f t="shared" si="2"/>
        <v>10939</v>
      </c>
      <c r="M23" s="11">
        <v>69</v>
      </c>
    </row>
    <row r="24" spans="1:13" s="5" customFormat="1" ht="15.6" x14ac:dyDescent="0.4">
      <c r="A24" s="118"/>
      <c r="B24" s="48" t="s">
        <v>175</v>
      </c>
      <c r="C24" s="19" t="s">
        <v>24</v>
      </c>
      <c r="D24" s="42" t="s">
        <v>139</v>
      </c>
      <c r="E24" s="44" t="s">
        <v>140</v>
      </c>
      <c r="F24" s="43" t="s">
        <v>119</v>
      </c>
      <c r="G24" s="43">
        <v>52</v>
      </c>
      <c r="H24" s="42" t="s">
        <v>120</v>
      </c>
      <c r="I24" s="117"/>
      <c r="J24" s="49">
        <v>13444</v>
      </c>
      <c r="K24" s="49">
        <f t="shared" si="1"/>
        <v>537.76</v>
      </c>
      <c r="L24" s="43">
        <f t="shared" si="2"/>
        <v>13444</v>
      </c>
      <c r="M24" s="8">
        <v>83</v>
      </c>
    </row>
    <row r="25" spans="1:13" s="5" customFormat="1" ht="17.399999999999999" customHeight="1" x14ac:dyDescent="0.4">
      <c r="A25" s="118" t="s">
        <v>9</v>
      </c>
      <c r="B25" s="48" t="s">
        <v>175</v>
      </c>
      <c r="C25" s="19" t="s">
        <v>192</v>
      </c>
      <c r="D25" s="42" t="s">
        <v>141</v>
      </c>
      <c r="E25" s="44" t="s">
        <v>124</v>
      </c>
      <c r="F25" s="43" t="s">
        <v>116</v>
      </c>
      <c r="G25" s="43">
        <v>44</v>
      </c>
      <c r="H25" s="42" t="s">
        <v>111</v>
      </c>
      <c r="I25" s="42" t="s">
        <v>155</v>
      </c>
      <c r="J25" s="49">
        <v>8766</v>
      </c>
      <c r="K25" s="49">
        <f t="shared" si="1"/>
        <v>350.64</v>
      </c>
      <c r="L25" s="43">
        <f t="shared" si="2"/>
        <v>8766</v>
      </c>
      <c r="M25" s="13">
        <v>65</v>
      </c>
    </row>
    <row r="26" spans="1:13" s="5" customFormat="1" ht="17.399999999999999" customHeight="1" x14ac:dyDescent="0.4">
      <c r="A26" s="118"/>
      <c r="B26" s="45"/>
      <c r="C26" s="45" t="s">
        <v>165</v>
      </c>
      <c r="D26" s="45"/>
      <c r="E26" s="47"/>
      <c r="F26" s="46" t="s">
        <v>176</v>
      </c>
      <c r="G26" s="46">
        <v>32</v>
      </c>
      <c r="H26" s="45"/>
      <c r="I26" s="45"/>
      <c r="J26" s="50">
        <v>6379</v>
      </c>
      <c r="K26" s="50">
        <f t="shared" si="1"/>
        <v>255.16</v>
      </c>
      <c r="L26" s="46">
        <f t="shared" si="2"/>
        <v>6379</v>
      </c>
      <c r="M26" s="4"/>
    </row>
    <row r="27" spans="1:13" s="5" customFormat="1" ht="17.399999999999999" customHeight="1" x14ac:dyDescent="0.4">
      <c r="A27" s="118"/>
      <c r="B27" s="45"/>
      <c r="C27" s="19" t="s">
        <v>11</v>
      </c>
      <c r="D27" s="45"/>
      <c r="E27" s="47"/>
      <c r="F27" s="46" t="s">
        <v>114</v>
      </c>
      <c r="G27" s="46">
        <v>50</v>
      </c>
      <c r="H27" s="45" t="s">
        <v>113</v>
      </c>
      <c r="I27" s="45"/>
      <c r="J27" s="50">
        <v>12096</v>
      </c>
      <c r="K27" s="50">
        <f t="shared" si="1"/>
        <v>483.84</v>
      </c>
      <c r="L27" s="46">
        <f t="shared" si="2"/>
        <v>12096</v>
      </c>
      <c r="M27" s="8">
        <v>91</v>
      </c>
    </row>
    <row r="28" spans="1:13" s="5" customFormat="1" ht="17.399999999999999" customHeight="1" x14ac:dyDescent="0.4">
      <c r="A28" s="118"/>
      <c r="B28" s="45"/>
      <c r="C28" s="19" t="s">
        <v>199</v>
      </c>
      <c r="D28" s="45"/>
      <c r="E28" s="47"/>
      <c r="F28" s="46" t="s">
        <v>168</v>
      </c>
      <c r="G28" s="46">
        <v>52</v>
      </c>
      <c r="H28" s="45"/>
      <c r="I28" s="45"/>
      <c r="J28" s="50">
        <v>14648</v>
      </c>
      <c r="K28" s="50">
        <f t="shared" si="1"/>
        <v>585.91999999999996</v>
      </c>
      <c r="L28" s="46">
        <f t="shared" si="2"/>
        <v>14647.999999999998</v>
      </c>
      <c r="M28" s="4"/>
    </row>
    <row r="29" spans="1:13" s="5" customFormat="1" ht="15.6" x14ac:dyDescent="0.4">
      <c r="A29" s="118"/>
      <c r="B29" s="45"/>
      <c r="C29" s="19" t="s">
        <v>198</v>
      </c>
      <c r="D29" s="45"/>
      <c r="E29" s="47"/>
      <c r="F29" s="46" t="s">
        <v>177</v>
      </c>
      <c r="G29" s="46">
        <v>47</v>
      </c>
      <c r="H29" s="45"/>
      <c r="I29" s="45"/>
      <c r="J29" s="50">
        <v>10703</v>
      </c>
      <c r="K29" s="50">
        <f t="shared" si="1"/>
        <v>428.12</v>
      </c>
      <c r="L29" s="46">
        <f t="shared" si="2"/>
        <v>10703</v>
      </c>
      <c r="M29" s="6">
        <v>80</v>
      </c>
    </row>
    <row r="30" spans="1:13" s="5" customFormat="1" ht="17.399999999999999" customHeight="1" x14ac:dyDescent="0.4">
      <c r="A30" s="114" t="s">
        <v>47</v>
      </c>
      <c r="B30" s="48" t="s">
        <v>175</v>
      </c>
      <c r="C30" s="19" t="s">
        <v>192</v>
      </c>
      <c r="D30" s="42" t="s">
        <v>142</v>
      </c>
      <c r="E30" s="44" t="s">
        <v>137</v>
      </c>
      <c r="F30" s="43" t="s">
        <v>116</v>
      </c>
      <c r="G30" s="43">
        <v>44</v>
      </c>
      <c r="H30" s="42" t="s">
        <v>111</v>
      </c>
      <c r="I30" s="117" t="s">
        <v>156</v>
      </c>
      <c r="J30" s="49">
        <v>12073</v>
      </c>
      <c r="K30" s="49">
        <f t="shared" si="1"/>
        <v>482.92</v>
      </c>
      <c r="L30" s="43">
        <f t="shared" si="2"/>
        <v>12073</v>
      </c>
      <c r="M30" s="13">
        <v>81</v>
      </c>
    </row>
    <row r="31" spans="1:13" s="5" customFormat="1" ht="15.6" x14ac:dyDescent="0.4">
      <c r="A31" s="115"/>
      <c r="B31" s="48" t="s">
        <v>175</v>
      </c>
      <c r="C31" s="19" t="s">
        <v>191</v>
      </c>
      <c r="D31" s="42" t="s">
        <v>143</v>
      </c>
      <c r="E31" s="44" t="s">
        <v>140</v>
      </c>
      <c r="F31" s="43" t="s">
        <v>114</v>
      </c>
      <c r="G31" s="43">
        <v>55</v>
      </c>
      <c r="H31" s="42" t="s">
        <v>112</v>
      </c>
      <c r="I31" s="117"/>
      <c r="J31" s="49">
        <v>16042</v>
      </c>
      <c r="K31" s="49">
        <f t="shared" si="1"/>
        <v>641.67999999999995</v>
      </c>
      <c r="L31" s="43">
        <f t="shared" si="2"/>
        <v>16041.999999999998</v>
      </c>
      <c r="M31" s="8">
        <v>103</v>
      </c>
    </row>
    <row r="32" spans="1:13" s="5" customFormat="1" ht="15.6" x14ac:dyDescent="0.4">
      <c r="A32" s="115"/>
      <c r="B32" s="45"/>
      <c r="C32" s="19" t="s">
        <v>24</v>
      </c>
      <c r="D32" s="45"/>
      <c r="E32" s="47"/>
      <c r="F32" s="46" t="s">
        <v>119</v>
      </c>
      <c r="G32" s="46">
        <v>52</v>
      </c>
      <c r="H32" s="45" t="s">
        <v>120</v>
      </c>
      <c r="I32" s="45"/>
      <c r="J32" s="50">
        <v>17413</v>
      </c>
      <c r="K32" s="50">
        <f>J32/25</f>
        <v>696.52</v>
      </c>
      <c r="L32" s="46">
        <f t="shared" si="2"/>
        <v>17413</v>
      </c>
      <c r="M32" s="11">
        <v>116</v>
      </c>
    </row>
    <row r="33" spans="1:13" s="5" customFormat="1" ht="15.6" x14ac:dyDescent="0.4">
      <c r="A33" s="116"/>
      <c r="B33" s="45"/>
      <c r="C33" s="19" t="s">
        <v>199</v>
      </c>
      <c r="D33" s="45"/>
      <c r="E33" s="47"/>
      <c r="F33" s="46" t="s">
        <v>114</v>
      </c>
      <c r="G33" s="46">
        <v>52</v>
      </c>
      <c r="H33" s="45"/>
      <c r="I33" s="45"/>
      <c r="J33" s="50">
        <v>15593</v>
      </c>
      <c r="K33" s="50">
        <f>J33/25</f>
        <v>623.72</v>
      </c>
      <c r="L33" s="46">
        <f t="shared" si="2"/>
        <v>15593</v>
      </c>
      <c r="M33" s="11">
        <v>100</v>
      </c>
    </row>
    <row r="34" spans="1:13" s="5" customFormat="1" ht="15.6" x14ac:dyDescent="0.4">
      <c r="A34" s="118">
        <v>1881</v>
      </c>
      <c r="B34" s="48" t="s">
        <v>175</v>
      </c>
      <c r="C34" s="19" t="s">
        <v>192</v>
      </c>
      <c r="D34" s="42" t="s">
        <v>144</v>
      </c>
      <c r="E34" s="44" t="s">
        <v>124</v>
      </c>
      <c r="F34" s="43" t="s">
        <v>116</v>
      </c>
      <c r="G34" s="43">
        <v>44</v>
      </c>
      <c r="H34" s="42" t="s">
        <v>111</v>
      </c>
      <c r="I34" s="42" t="s">
        <v>157</v>
      </c>
      <c r="J34" s="49">
        <v>7797</v>
      </c>
      <c r="K34" s="49">
        <f t="shared" ref="K34:K37" si="3">J34/25</f>
        <v>311.88</v>
      </c>
      <c r="L34" s="43">
        <f t="shared" si="2"/>
        <v>7797</v>
      </c>
      <c r="M34" s="13">
        <v>55</v>
      </c>
    </row>
    <row r="35" spans="1:13" s="5" customFormat="1" ht="15.6" x14ac:dyDescent="0.4">
      <c r="A35" s="118"/>
      <c r="B35" s="45"/>
      <c r="C35" s="45" t="s">
        <v>161</v>
      </c>
      <c r="D35" s="45"/>
      <c r="E35" s="47"/>
      <c r="F35" s="46" t="s">
        <v>162</v>
      </c>
      <c r="G35" s="46">
        <v>42</v>
      </c>
      <c r="H35" s="45"/>
      <c r="I35" s="45"/>
      <c r="J35" s="50">
        <v>8341</v>
      </c>
      <c r="K35" s="50">
        <f t="shared" si="3"/>
        <v>333.64</v>
      </c>
      <c r="L35" s="46">
        <f t="shared" si="2"/>
        <v>8341</v>
      </c>
      <c r="M35" s="6">
        <v>65</v>
      </c>
    </row>
    <row r="36" spans="1:13" s="5" customFormat="1" ht="15.6" x14ac:dyDescent="0.4">
      <c r="A36" s="118"/>
      <c r="B36" s="45"/>
      <c r="C36" s="102" t="s">
        <v>25</v>
      </c>
      <c r="D36" s="42"/>
      <c r="E36" s="44"/>
      <c r="F36" s="43" t="s">
        <v>114</v>
      </c>
      <c r="G36" s="43">
        <v>50</v>
      </c>
      <c r="H36" s="45" t="s">
        <v>112</v>
      </c>
      <c r="I36" s="45"/>
      <c r="J36" s="50">
        <v>8978</v>
      </c>
      <c r="K36" s="50">
        <f t="shared" si="3"/>
        <v>359.12</v>
      </c>
      <c r="L36" s="46">
        <f t="shared" si="2"/>
        <v>8978</v>
      </c>
      <c r="M36" s="6">
        <v>66</v>
      </c>
    </row>
    <row r="37" spans="1:13" s="5" customFormat="1" ht="15.6" x14ac:dyDescent="0.4">
      <c r="A37" s="118"/>
      <c r="B37" s="45"/>
      <c r="C37" s="19" t="s">
        <v>27</v>
      </c>
      <c r="D37" s="45"/>
      <c r="E37" s="47"/>
      <c r="F37" s="46" t="s">
        <v>163</v>
      </c>
      <c r="G37" s="46">
        <v>52</v>
      </c>
      <c r="H37" s="45"/>
      <c r="I37" s="45"/>
      <c r="J37" s="50">
        <v>12688</v>
      </c>
      <c r="K37" s="50">
        <f t="shared" si="3"/>
        <v>507.52</v>
      </c>
      <c r="L37" s="46">
        <f t="shared" si="2"/>
        <v>12688</v>
      </c>
      <c r="M37" s="8">
        <v>88</v>
      </c>
    </row>
    <row r="38" spans="1:13" s="5" customFormat="1" ht="15.6" x14ac:dyDescent="0.4">
      <c r="A38" s="114" t="s">
        <v>29</v>
      </c>
      <c r="B38" s="45"/>
      <c r="C38" s="45" t="s">
        <v>10</v>
      </c>
      <c r="D38" s="45"/>
      <c r="E38" s="47"/>
      <c r="F38" s="43" t="s">
        <v>116</v>
      </c>
      <c r="G38" s="43">
        <v>44</v>
      </c>
      <c r="H38" s="45"/>
      <c r="I38" s="45"/>
      <c r="J38" s="50"/>
      <c r="K38" s="50"/>
      <c r="L38" s="46"/>
      <c r="M38" s="8"/>
    </row>
    <row r="39" spans="1:13" s="5" customFormat="1" ht="15.6" x14ac:dyDescent="0.4">
      <c r="A39" s="115"/>
      <c r="B39" s="45"/>
      <c r="C39" s="45" t="s">
        <v>11</v>
      </c>
      <c r="D39" s="45"/>
      <c r="E39" s="47"/>
      <c r="F39" s="46" t="s">
        <v>114</v>
      </c>
      <c r="G39" s="46">
        <v>52</v>
      </c>
      <c r="H39" s="45"/>
      <c r="I39" s="45"/>
      <c r="J39" s="50"/>
      <c r="K39" s="50"/>
      <c r="L39" s="46"/>
      <c r="M39" s="8"/>
    </row>
    <row r="40" spans="1:13" s="5" customFormat="1" ht="15.6" x14ac:dyDescent="0.4">
      <c r="A40" s="115"/>
      <c r="B40" s="45"/>
      <c r="C40" s="45" t="s">
        <v>266</v>
      </c>
      <c r="D40" s="45"/>
      <c r="E40" s="47"/>
      <c r="F40" s="46" t="s">
        <v>117</v>
      </c>
      <c r="G40" s="46">
        <v>52</v>
      </c>
      <c r="H40" s="45"/>
      <c r="I40" s="45"/>
      <c r="J40" s="50"/>
      <c r="K40" s="50"/>
      <c r="L40" s="46"/>
      <c r="M40" s="8"/>
    </row>
    <row r="41" spans="1:13" s="5" customFormat="1" ht="15.6" x14ac:dyDescent="0.4">
      <c r="A41" s="115"/>
      <c r="B41" s="45"/>
      <c r="C41" s="45" t="s">
        <v>267</v>
      </c>
      <c r="D41" s="45"/>
      <c r="E41" s="47"/>
      <c r="F41" s="46"/>
      <c r="G41" s="46"/>
      <c r="H41" s="45"/>
      <c r="I41" s="45"/>
      <c r="J41" s="50"/>
      <c r="K41" s="50"/>
      <c r="L41" s="46"/>
      <c r="M41" s="8"/>
    </row>
    <row r="42" spans="1:13" s="5" customFormat="1" ht="15.6" x14ac:dyDescent="0.4">
      <c r="A42" s="116"/>
      <c r="B42" s="45"/>
      <c r="C42" s="45" t="s">
        <v>268</v>
      </c>
      <c r="D42" s="45"/>
      <c r="E42" s="47"/>
      <c r="F42" s="46"/>
      <c r="G42" s="46"/>
      <c r="H42" s="45"/>
      <c r="I42" s="45"/>
      <c r="J42" s="50"/>
      <c r="K42" s="50"/>
      <c r="L42" s="46"/>
      <c r="M42" s="8"/>
    </row>
    <row r="43" spans="1:13" s="5" customFormat="1" ht="17.399999999999999" customHeight="1" x14ac:dyDescent="0.4">
      <c r="A43" s="114" t="s">
        <v>31</v>
      </c>
      <c r="B43" s="45"/>
      <c r="C43" s="7" t="s">
        <v>11</v>
      </c>
      <c r="D43" s="45"/>
      <c r="E43" s="47"/>
      <c r="F43" s="46"/>
      <c r="G43" s="46"/>
      <c r="H43" s="45"/>
      <c r="I43" s="45"/>
      <c r="J43" s="50"/>
      <c r="K43" s="50"/>
      <c r="L43" s="46"/>
      <c r="M43" s="8"/>
    </row>
    <row r="44" spans="1:13" s="5" customFormat="1" ht="15.6" x14ac:dyDescent="0.4">
      <c r="A44" s="115"/>
      <c r="B44" s="48" t="s">
        <v>175</v>
      </c>
      <c r="C44" s="60" t="s">
        <v>193</v>
      </c>
      <c r="D44" s="42" t="s">
        <v>145</v>
      </c>
      <c r="E44" s="44" t="s">
        <v>137</v>
      </c>
      <c r="F44" s="43" t="s">
        <v>117</v>
      </c>
      <c r="G44" s="43">
        <v>52</v>
      </c>
      <c r="H44" s="42" t="s">
        <v>118</v>
      </c>
      <c r="I44" s="117" t="s">
        <v>156</v>
      </c>
      <c r="J44" s="49">
        <v>17176</v>
      </c>
      <c r="K44" s="49">
        <f t="shared" ref="K44" si="4">J44/25</f>
        <v>687.04</v>
      </c>
      <c r="L44" s="43">
        <f t="shared" ref="L44" si="5">K44*25</f>
        <v>17176</v>
      </c>
      <c r="M44" s="4"/>
    </row>
    <row r="45" spans="1:13" s="5" customFormat="1" ht="15.6" x14ac:dyDescent="0.4">
      <c r="A45" s="115"/>
      <c r="B45" s="48" t="s">
        <v>175</v>
      </c>
      <c r="C45" s="45" t="s">
        <v>267</v>
      </c>
      <c r="D45" s="42" t="s">
        <v>147</v>
      </c>
      <c r="E45" s="44" t="s">
        <v>140</v>
      </c>
      <c r="F45" s="43" t="s">
        <v>114</v>
      </c>
      <c r="G45" s="43">
        <v>52</v>
      </c>
      <c r="H45" s="42" t="s">
        <v>112</v>
      </c>
      <c r="I45" s="117"/>
      <c r="J45" s="43" t="s">
        <v>164</v>
      </c>
      <c r="K45" s="43" t="s">
        <v>164</v>
      </c>
      <c r="L45" s="43" t="s">
        <v>164</v>
      </c>
      <c r="M45" s="4"/>
    </row>
    <row r="46" spans="1:13" s="5" customFormat="1" ht="15.6" x14ac:dyDescent="0.4">
      <c r="A46" s="115"/>
      <c r="B46" s="45"/>
      <c r="C46" s="45" t="s">
        <v>266</v>
      </c>
      <c r="D46" s="45"/>
      <c r="E46" s="47"/>
      <c r="F46" s="46" t="s">
        <v>117</v>
      </c>
      <c r="G46" s="46">
        <v>52</v>
      </c>
      <c r="H46" s="45"/>
      <c r="I46" s="45"/>
      <c r="J46" s="50">
        <v>18144</v>
      </c>
      <c r="K46" s="50">
        <f t="shared" ref="K46" si="6">J46/25</f>
        <v>725.76</v>
      </c>
      <c r="L46" s="46">
        <f t="shared" ref="L46" si="7">K46*25</f>
        <v>18144</v>
      </c>
      <c r="M46" s="4"/>
    </row>
    <row r="47" spans="1:13" s="5" customFormat="1" ht="15.6" x14ac:dyDescent="0.4">
      <c r="A47" s="116"/>
      <c r="B47" s="45"/>
      <c r="C47" s="7" t="s">
        <v>24</v>
      </c>
      <c r="D47" s="45"/>
      <c r="E47" s="47"/>
      <c r="F47" s="46"/>
      <c r="G47" s="46"/>
      <c r="H47" s="45"/>
      <c r="I47" s="45"/>
      <c r="J47" s="50"/>
      <c r="K47" s="50"/>
      <c r="L47" s="46"/>
      <c r="M47" s="8"/>
    </row>
    <row r="48" spans="1:13" s="5" customFormat="1" ht="15.6" x14ac:dyDescent="0.4">
      <c r="A48" s="114" t="s">
        <v>73</v>
      </c>
      <c r="B48" s="45"/>
      <c r="C48" s="45" t="s">
        <v>11</v>
      </c>
      <c r="D48" s="45"/>
      <c r="E48" s="47"/>
      <c r="F48" s="46"/>
      <c r="G48" s="46"/>
      <c r="H48" s="45"/>
      <c r="I48" s="45"/>
      <c r="J48" s="50"/>
      <c r="K48" s="50"/>
      <c r="L48" s="46"/>
      <c r="M48" s="8"/>
    </row>
    <row r="49" spans="1:13" s="5" customFormat="1" ht="15.6" x14ac:dyDescent="0.4">
      <c r="A49" s="115"/>
      <c r="B49" s="45"/>
      <c r="C49" s="45" t="s">
        <v>269</v>
      </c>
      <c r="D49" s="45"/>
      <c r="E49" s="47"/>
      <c r="F49" s="46"/>
      <c r="G49" s="46"/>
      <c r="H49" s="45"/>
      <c r="I49" s="45"/>
      <c r="J49" s="50"/>
      <c r="K49" s="50"/>
      <c r="L49" s="46"/>
      <c r="M49" s="8"/>
    </row>
    <row r="50" spans="1:13" s="5" customFormat="1" ht="15.6" x14ac:dyDescent="0.4">
      <c r="A50" s="115"/>
      <c r="B50" s="48" t="s">
        <v>175</v>
      </c>
      <c r="C50" s="45" t="s">
        <v>267</v>
      </c>
      <c r="D50" s="42" t="s">
        <v>146</v>
      </c>
      <c r="E50" s="44" t="s">
        <v>140</v>
      </c>
      <c r="F50" s="43" t="s">
        <v>114</v>
      </c>
      <c r="G50" s="43">
        <v>52</v>
      </c>
      <c r="H50" s="42" t="s">
        <v>112</v>
      </c>
      <c r="I50" s="42" t="s">
        <v>158</v>
      </c>
      <c r="J50" s="43" t="s">
        <v>164</v>
      </c>
      <c r="K50" s="43" t="s">
        <v>164</v>
      </c>
      <c r="L50" s="43" t="s">
        <v>164</v>
      </c>
      <c r="M50" s="4"/>
    </row>
    <row r="51" spans="1:13" s="5" customFormat="1" ht="15.6" x14ac:dyDescent="0.4">
      <c r="A51" s="116"/>
      <c r="B51" s="48"/>
      <c r="C51" s="45" t="s">
        <v>268</v>
      </c>
      <c r="D51" s="42"/>
      <c r="E51" s="44"/>
      <c r="F51" s="43"/>
      <c r="G51" s="43"/>
      <c r="H51" s="42"/>
      <c r="I51" s="42"/>
      <c r="J51" s="43"/>
      <c r="K51" s="43"/>
      <c r="L51" s="43"/>
      <c r="M51" s="4"/>
    </row>
    <row r="52" spans="1:13" s="5" customFormat="1" ht="15.6" x14ac:dyDescent="0.4">
      <c r="A52" s="114" t="s">
        <v>33</v>
      </c>
      <c r="B52" s="48"/>
      <c r="C52" s="19" t="s">
        <v>11</v>
      </c>
      <c r="D52" s="42"/>
      <c r="E52" s="44"/>
      <c r="F52" s="43"/>
      <c r="G52" s="43"/>
      <c r="H52" s="42"/>
      <c r="I52" s="42"/>
      <c r="J52" s="43"/>
      <c r="K52" s="43"/>
      <c r="L52" s="43"/>
      <c r="M52" s="4"/>
    </row>
    <row r="53" spans="1:13" s="31" customFormat="1" ht="15.6" x14ac:dyDescent="0.4">
      <c r="A53" s="115"/>
      <c r="B53" s="48" t="s">
        <v>175</v>
      </c>
      <c r="C53" s="19" t="s">
        <v>270</v>
      </c>
      <c r="D53" s="42" t="s">
        <v>148</v>
      </c>
      <c r="E53" s="44" t="s">
        <v>140</v>
      </c>
      <c r="F53" s="43" t="s">
        <v>117</v>
      </c>
      <c r="G53" s="43">
        <v>55</v>
      </c>
      <c r="H53" s="42" t="s">
        <v>118</v>
      </c>
      <c r="I53" s="42" t="s">
        <v>156</v>
      </c>
      <c r="J53" s="43" t="s">
        <v>164</v>
      </c>
      <c r="K53" s="43" t="s">
        <v>164</v>
      </c>
      <c r="L53" s="43" t="s">
        <v>164</v>
      </c>
      <c r="M53" s="74"/>
    </row>
    <row r="54" spans="1:13" s="31" customFormat="1" ht="15.6" x14ac:dyDescent="0.4">
      <c r="A54" s="115"/>
      <c r="B54" s="48"/>
      <c r="C54" s="19" t="s">
        <v>267</v>
      </c>
      <c r="D54" s="42"/>
      <c r="E54" s="44"/>
      <c r="F54" s="43"/>
      <c r="G54" s="43"/>
      <c r="H54" s="42"/>
      <c r="I54" s="42"/>
      <c r="J54" s="43"/>
      <c r="K54" s="43"/>
      <c r="L54" s="43"/>
      <c r="M54" s="74"/>
    </row>
    <row r="55" spans="1:13" s="31" customFormat="1" ht="15.6" x14ac:dyDescent="0.4">
      <c r="A55" s="116"/>
      <c r="B55" s="48"/>
      <c r="C55" s="19" t="s">
        <v>268</v>
      </c>
      <c r="D55" s="42"/>
      <c r="E55" s="44"/>
      <c r="F55" s="43"/>
      <c r="G55" s="43"/>
      <c r="H55" s="42"/>
      <c r="I55" s="42"/>
      <c r="J55" s="43"/>
      <c r="K55" s="43"/>
      <c r="L55" s="43"/>
      <c r="M55" s="74"/>
    </row>
    <row r="56" spans="1:13" x14ac:dyDescent="0.4">
      <c r="A56" s="48" t="s">
        <v>108</v>
      </c>
      <c r="B56" s="48" t="s">
        <v>175</v>
      </c>
      <c r="C56" s="19" t="s">
        <v>11</v>
      </c>
      <c r="D56" s="42" t="s">
        <v>149</v>
      </c>
      <c r="E56" s="44" t="s">
        <v>137</v>
      </c>
      <c r="F56" s="43" t="s">
        <v>114</v>
      </c>
      <c r="G56" s="43">
        <v>52</v>
      </c>
      <c r="H56" s="42" t="s">
        <v>112</v>
      </c>
      <c r="I56" s="42" t="s">
        <v>150</v>
      </c>
      <c r="J56" s="43" t="s">
        <v>164</v>
      </c>
      <c r="K56" s="43" t="s">
        <v>164</v>
      </c>
      <c r="L56" s="43" t="s">
        <v>164</v>
      </c>
      <c r="M56" s="1"/>
    </row>
  </sheetData>
  <autoFilter ref="A2:M56" xr:uid="{B8ED57B5-5ECA-430E-B66E-9739B3850B31}"/>
  <mergeCells count="16">
    <mergeCell ref="J1:L1"/>
    <mergeCell ref="A17:A21"/>
    <mergeCell ref="I8:I9"/>
    <mergeCell ref="I17:I18"/>
    <mergeCell ref="I22:I24"/>
    <mergeCell ref="A48:A51"/>
    <mergeCell ref="A52:A55"/>
    <mergeCell ref="A43:A47"/>
    <mergeCell ref="I30:I31"/>
    <mergeCell ref="A8:A16"/>
    <mergeCell ref="A22:A24"/>
    <mergeCell ref="A25:A29"/>
    <mergeCell ref="A34:A37"/>
    <mergeCell ref="A30:A33"/>
    <mergeCell ref="A38:A42"/>
    <mergeCell ref="I44:I45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A7195-8DDE-4B0A-A092-D88A98E5107E}">
  <sheetPr>
    <tabColor rgb="FF92D050"/>
  </sheetPr>
  <dimension ref="A1:J63"/>
  <sheetViews>
    <sheetView topLeftCell="A16" zoomScale="90" zoomScaleNormal="90" workbookViewId="0">
      <selection activeCell="B26" sqref="B26"/>
    </sheetView>
  </sheetViews>
  <sheetFormatPr defaultRowHeight="17.399999999999999" x14ac:dyDescent="0.4"/>
  <cols>
    <col min="1" max="1" width="34.5" bestFit="1" customWidth="1"/>
    <col min="2" max="2" width="19.09765625" style="2" bestFit="1" customWidth="1"/>
    <col min="3" max="4" width="10.296875" bestFit="1" customWidth="1"/>
    <col min="5" max="5" width="11.3984375" customWidth="1"/>
    <col min="6" max="6" width="11.3984375" bestFit="1" customWidth="1"/>
    <col min="7" max="7" width="9.3984375" bestFit="1" customWidth="1"/>
    <col min="8" max="8" width="10.3984375" bestFit="1" customWidth="1"/>
    <col min="9" max="10" width="11.09765625" bestFit="1" customWidth="1"/>
    <col min="11" max="11" width="12.3984375" bestFit="1" customWidth="1"/>
    <col min="12" max="12" width="15.296875" bestFit="1" customWidth="1"/>
    <col min="13" max="13" width="17.09765625" bestFit="1" customWidth="1"/>
    <col min="14" max="14" width="14.3984375" bestFit="1" customWidth="1"/>
    <col min="15" max="17" width="10.3984375" bestFit="1" customWidth="1"/>
    <col min="18" max="18" width="8.59765625" bestFit="1" customWidth="1"/>
    <col min="19" max="19" width="6.796875" bestFit="1" customWidth="1"/>
    <col min="20" max="20" width="10.5" bestFit="1" customWidth="1"/>
    <col min="21" max="21" width="18.296875" bestFit="1" customWidth="1"/>
  </cols>
  <sheetData>
    <row r="1" spans="1:10" x14ac:dyDescent="0.4">
      <c r="A1" s="3" t="s">
        <v>8</v>
      </c>
      <c r="B1" s="3" t="s">
        <v>21</v>
      </c>
      <c r="C1" s="3" t="s">
        <v>44</v>
      </c>
      <c r="D1" s="3" t="s">
        <v>16</v>
      </c>
      <c r="E1" s="3" t="s">
        <v>56</v>
      </c>
      <c r="F1" s="3" t="s">
        <v>20</v>
      </c>
      <c r="G1" s="3" t="s">
        <v>17</v>
      </c>
      <c r="H1" s="3" t="s">
        <v>26</v>
      </c>
      <c r="I1" s="3" t="s">
        <v>18</v>
      </c>
      <c r="J1" s="3" t="s">
        <v>60</v>
      </c>
    </row>
    <row r="2" spans="1:10" x14ac:dyDescent="0.4">
      <c r="A2" s="120" t="s">
        <v>9</v>
      </c>
      <c r="B2" s="7" t="s">
        <v>10</v>
      </c>
      <c r="C2" s="6"/>
      <c r="D2" s="6">
        <v>13</v>
      </c>
      <c r="E2" s="6"/>
      <c r="F2" s="6"/>
      <c r="G2" s="6">
        <v>23</v>
      </c>
      <c r="H2" s="6"/>
      <c r="I2" s="13">
        <v>65</v>
      </c>
      <c r="J2" s="6"/>
    </row>
    <row r="3" spans="1:10" x14ac:dyDescent="0.4">
      <c r="A3" s="121"/>
      <c r="B3" s="7" t="s">
        <v>11</v>
      </c>
      <c r="C3" s="6"/>
      <c r="D3" s="6">
        <v>15</v>
      </c>
      <c r="E3" s="6"/>
      <c r="F3" s="6"/>
      <c r="G3" s="6">
        <v>33</v>
      </c>
      <c r="H3" s="6"/>
      <c r="I3" s="8">
        <v>91</v>
      </c>
      <c r="J3" s="6"/>
    </row>
    <row r="4" spans="1:10" x14ac:dyDescent="0.4">
      <c r="A4" s="121"/>
      <c r="B4" s="7" t="s">
        <v>12</v>
      </c>
      <c r="C4" s="6"/>
      <c r="D4" s="6">
        <v>18</v>
      </c>
      <c r="E4" s="6"/>
      <c r="F4" s="6"/>
      <c r="G4" s="6">
        <v>36</v>
      </c>
      <c r="H4" s="6"/>
      <c r="I4" s="6"/>
      <c r="J4" s="6"/>
    </row>
    <row r="5" spans="1:10" x14ac:dyDescent="0.4">
      <c r="A5" s="121"/>
      <c r="B5" s="7" t="s">
        <v>13</v>
      </c>
      <c r="C5" s="6"/>
      <c r="D5" s="6">
        <v>15</v>
      </c>
      <c r="E5" s="6"/>
      <c r="F5" s="6"/>
      <c r="G5" s="6"/>
      <c r="H5" s="6"/>
      <c r="I5" s="6">
        <v>80</v>
      </c>
      <c r="J5" s="6"/>
    </row>
    <row r="6" spans="1:10" x14ac:dyDescent="0.4">
      <c r="A6" s="121"/>
      <c r="B6" s="7" t="s">
        <v>14</v>
      </c>
      <c r="C6" s="6"/>
      <c r="D6" s="6">
        <v>10</v>
      </c>
      <c r="E6" s="6"/>
      <c r="F6" s="6"/>
      <c r="G6" s="6"/>
      <c r="H6" s="6"/>
      <c r="I6" s="6">
        <v>50</v>
      </c>
      <c r="J6" s="6"/>
    </row>
    <row r="7" spans="1:10" x14ac:dyDescent="0.4">
      <c r="A7" s="121"/>
      <c r="B7" s="7" t="s">
        <v>15</v>
      </c>
      <c r="C7" s="6"/>
      <c r="D7" s="6">
        <v>9</v>
      </c>
      <c r="E7" s="6"/>
      <c r="F7" s="6"/>
      <c r="G7" s="6">
        <v>17</v>
      </c>
      <c r="H7" s="6"/>
      <c r="I7" s="6"/>
      <c r="J7" s="6"/>
    </row>
    <row r="8" spans="1:10" x14ac:dyDescent="0.4">
      <c r="A8" s="122"/>
      <c r="B8" s="7" t="s">
        <v>19</v>
      </c>
      <c r="C8" s="6"/>
      <c r="D8" s="6"/>
      <c r="E8" s="6"/>
      <c r="F8" s="6">
        <v>13</v>
      </c>
      <c r="G8" s="6"/>
      <c r="H8" s="6"/>
      <c r="I8" s="6"/>
      <c r="J8" s="6"/>
    </row>
    <row r="9" spans="1:10" x14ac:dyDescent="0.4">
      <c r="A9" s="123" t="s">
        <v>22</v>
      </c>
      <c r="B9" s="10" t="s">
        <v>23</v>
      </c>
      <c r="C9" s="11"/>
      <c r="D9" s="11"/>
      <c r="E9" s="11"/>
      <c r="F9" s="11"/>
      <c r="G9" s="11"/>
      <c r="H9" s="11">
        <v>24</v>
      </c>
      <c r="I9" s="13">
        <v>53</v>
      </c>
      <c r="J9" s="11"/>
    </row>
    <row r="10" spans="1:10" x14ac:dyDescent="0.4">
      <c r="A10" s="124"/>
      <c r="B10" s="10" t="s">
        <v>25</v>
      </c>
      <c r="C10" s="11"/>
      <c r="D10" s="11"/>
      <c r="E10" s="11"/>
      <c r="F10" s="11"/>
      <c r="G10" s="11"/>
      <c r="H10" s="11"/>
      <c r="I10" s="11">
        <v>69</v>
      </c>
      <c r="J10" s="11"/>
    </row>
    <row r="11" spans="1:10" x14ac:dyDescent="0.4">
      <c r="A11" s="125"/>
      <c r="B11" s="10" t="s">
        <v>24</v>
      </c>
      <c r="C11" s="11"/>
      <c r="D11" s="11"/>
      <c r="E11" s="11"/>
      <c r="F11" s="11"/>
      <c r="G11" s="11"/>
      <c r="H11" s="11">
        <v>37</v>
      </c>
      <c r="I11" s="8">
        <v>83</v>
      </c>
      <c r="J11" s="11"/>
    </row>
    <row r="12" spans="1:10" x14ac:dyDescent="0.4">
      <c r="A12" s="126">
        <v>1881</v>
      </c>
      <c r="B12" s="7" t="s">
        <v>10</v>
      </c>
      <c r="C12" s="6"/>
      <c r="D12" s="6">
        <v>10</v>
      </c>
      <c r="E12" s="6"/>
      <c r="F12" s="6"/>
      <c r="G12" s="6">
        <v>20</v>
      </c>
      <c r="H12" s="6"/>
      <c r="I12" s="13">
        <v>55</v>
      </c>
      <c r="J12" s="6"/>
    </row>
    <row r="13" spans="1:10" x14ac:dyDescent="0.4">
      <c r="A13" s="127"/>
      <c r="B13" s="7" t="s">
        <v>11</v>
      </c>
      <c r="C13" s="6"/>
      <c r="D13" s="6">
        <v>12</v>
      </c>
      <c r="E13" s="6"/>
      <c r="F13" s="6"/>
      <c r="G13" s="6">
        <v>28</v>
      </c>
      <c r="H13" s="6"/>
      <c r="I13" s="6">
        <v>66</v>
      </c>
      <c r="J13" s="6"/>
    </row>
    <row r="14" spans="1:10" x14ac:dyDescent="0.4">
      <c r="A14" s="127"/>
      <c r="B14" s="7" t="s">
        <v>27</v>
      </c>
      <c r="C14" s="6"/>
      <c r="D14" s="6">
        <v>16</v>
      </c>
      <c r="E14" s="6"/>
      <c r="F14" s="6"/>
      <c r="G14" s="6">
        <v>31</v>
      </c>
      <c r="H14" s="6"/>
      <c r="I14" s="8">
        <v>88</v>
      </c>
      <c r="J14" s="6"/>
    </row>
    <row r="15" spans="1:10" x14ac:dyDescent="0.4">
      <c r="A15" s="128"/>
      <c r="B15" s="7" t="s">
        <v>28</v>
      </c>
      <c r="C15" s="6"/>
      <c r="D15" s="6">
        <v>12</v>
      </c>
      <c r="E15" s="6"/>
      <c r="F15" s="6"/>
      <c r="G15" s="6"/>
      <c r="H15" s="6"/>
      <c r="I15" s="6">
        <v>65</v>
      </c>
      <c r="J15" s="6"/>
    </row>
    <row r="16" spans="1:10" x14ac:dyDescent="0.4">
      <c r="A16" s="123" t="s">
        <v>29</v>
      </c>
      <c r="B16" s="10" t="s">
        <v>10</v>
      </c>
      <c r="C16" s="11"/>
      <c r="D16" s="11"/>
      <c r="E16" s="11"/>
      <c r="F16" s="11"/>
      <c r="G16" s="11"/>
      <c r="H16" s="11"/>
      <c r="I16" s="13">
        <v>79</v>
      </c>
      <c r="J16" s="11"/>
    </row>
    <row r="17" spans="1:10" x14ac:dyDescent="0.4">
      <c r="A17" s="124"/>
      <c r="B17" s="10" t="s">
        <v>11</v>
      </c>
      <c r="C17" s="11"/>
      <c r="D17" s="11"/>
      <c r="E17" s="11"/>
      <c r="F17" s="11"/>
      <c r="G17" s="11"/>
      <c r="H17" s="11">
        <v>41</v>
      </c>
      <c r="I17" s="8">
        <v>99</v>
      </c>
      <c r="J17" s="11"/>
    </row>
    <row r="18" spans="1:10" x14ac:dyDescent="0.4">
      <c r="A18" s="124"/>
      <c r="B18" s="10" t="s">
        <v>30</v>
      </c>
      <c r="C18" s="11"/>
      <c r="D18" s="11"/>
      <c r="E18" s="11"/>
      <c r="F18" s="11"/>
      <c r="G18" s="11"/>
      <c r="H18" s="11">
        <v>41</v>
      </c>
      <c r="I18" s="11">
        <v>97</v>
      </c>
      <c r="J18" s="11"/>
    </row>
    <row r="19" spans="1:10" x14ac:dyDescent="0.4">
      <c r="A19" s="124"/>
      <c r="B19" s="10" t="s">
        <v>27</v>
      </c>
      <c r="C19" s="11"/>
      <c r="D19" s="11"/>
      <c r="E19" s="11"/>
      <c r="F19" s="11"/>
      <c r="G19" s="11"/>
      <c r="H19" s="11">
        <v>45</v>
      </c>
      <c r="I19" s="11">
        <v>108</v>
      </c>
      <c r="J19" s="11"/>
    </row>
    <row r="20" spans="1:10" x14ac:dyDescent="0.4">
      <c r="A20" s="125"/>
      <c r="B20" s="10" t="s">
        <v>24</v>
      </c>
      <c r="C20" s="11"/>
      <c r="D20" s="11"/>
      <c r="E20" s="11"/>
      <c r="F20" s="11"/>
      <c r="G20" s="11"/>
      <c r="H20" s="11">
        <v>49</v>
      </c>
      <c r="I20" s="11">
        <v>120</v>
      </c>
      <c r="J20" s="11"/>
    </row>
    <row r="21" spans="1:10" x14ac:dyDescent="0.4">
      <c r="A21" s="123" t="s">
        <v>63</v>
      </c>
      <c r="B21" s="10" t="s">
        <v>11</v>
      </c>
      <c r="C21" s="11"/>
      <c r="D21" s="11"/>
      <c r="E21" s="11"/>
      <c r="F21" s="11"/>
      <c r="G21" s="11"/>
      <c r="H21" s="11">
        <v>43</v>
      </c>
      <c r="I21" s="11">
        <v>100</v>
      </c>
      <c r="J21" s="11"/>
    </row>
    <row r="22" spans="1:10" x14ac:dyDescent="0.4">
      <c r="A22" s="124"/>
      <c r="B22" s="10" t="s">
        <v>64</v>
      </c>
      <c r="C22" s="11"/>
      <c r="D22" s="11"/>
      <c r="E22" s="11"/>
      <c r="F22" s="11"/>
      <c r="G22" s="11"/>
      <c r="H22" s="11"/>
      <c r="I22" s="13">
        <v>95</v>
      </c>
      <c r="J22" s="11"/>
    </row>
    <row r="23" spans="1:10" x14ac:dyDescent="0.4">
      <c r="A23" s="124"/>
      <c r="B23" s="10" t="s">
        <v>27</v>
      </c>
      <c r="C23" s="11"/>
      <c r="D23" s="11"/>
      <c r="E23" s="11"/>
      <c r="F23" s="11"/>
      <c r="G23" s="11"/>
      <c r="H23" s="11"/>
      <c r="I23" s="11">
        <v>94</v>
      </c>
      <c r="J23" s="11"/>
    </row>
    <row r="24" spans="1:10" x14ac:dyDescent="0.4">
      <c r="A24" s="124"/>
      <c r="B24" s="10" t="s">
        <v>24</v>
      </c>
      <c r="C24" s="11"/>
      <c r="D24" s="11"/>
      <c r="E24" s="11"/>
      <c r="F24" s="11"/>
      <c r="G24" s="11"/>
      <c r="H24" s="11">
        <v>47</v>
      </c>
      <c r="I24" s="11">
        <v>108</v>
      </c>
      <c r="J24" s="11"/>
    </row>
    <row r="25" spans="1:10" x14ac:dyDescent="0.4">
      <c r="A25" s="120" t="s">
        <v>31</v>
      </c>
      <c r="B25" s="7" t="s">
        <v>11</v>
      </c>
      <c r="C25" s="6"/>
      <c r="D25" s="6"/>
      <c r="E25" s="6"/>
      <c r="F25" s="6"/>
      <c r="G25" s="6"/>
      <c r="H25" s="6">
        <v>57</v>
      </c>
      <c r="I25" s="8">
        <v>134</v>
      </c>
      <c r="J25" s="6"/>
    </row>
    <row r="26" spans="1:10" x14ac:dyDescent="0.4">
      <c r="A26" s="121"/>
      <c r="B26" s="7" t="s">
        <v>32</v>
      </c>
      <c r="C26" s="6"/>
      <c r="D26" s="6"/>
      <c r="E26" s="6"/>
      <c r="F26" s="6"/>
      <c r="G26" s="6"/>
      <c r="H26" s="6">
        <v>51</v>
      </c>
      <c r="I26" s="13">
        <v>118</v>
      </c>
      <c r="J26" s="6"/>
    </row>
    <row r="27" spans="1:10" x14ac:dyDescent="0.4">
      <c r="A27" s="121"/>
      <c r="B27" s="7" t="s">
        <v>30</v>
      </c>
      <c r="C27" s="6"/>
      <c r="D27" s="6"/>
      <c r="E27" s="6"/>
      <c r="F27" s="6"/>
      <c r="G27" s="6"/>
      <c r="H27" s="6">
        <v>54</v>
      </c>
      <c r="I27" s="6">
        <v>126</v>
      </c>
      <c r="J27" s="6"/>
    </row>
    <row r="28" spans="1:10" x14ac:dyDescent="0.4">
      <c r="A28" s="121"/>
      <c r="B28" s="7" t="s">
        <v>27</v>
      </c>
      <c r="C28" s="6"/>
      <c r="D28" s="6"/>
      <c r="E28" s="6"/>
      <c r="F28" s="6"/>
      <c r="G28" s="6"/>
      <c r="H28" s="6">
        <v>60</v>
      </c>
      <c r="I28" s="6">
        <v>140</v>
      </c>
      <c r="J28" s="6"/>
    </row>
    <row r="29" spans="1:10" x14ac:dyDescent="0.4">
      <c r="A29" s="122"/>
      <c r="B29" s="7" t="s">
        <v>24</v>
      </c>
      <c r="C29" s="6"/>
      <c r="D29" s="6"/>
      <c r="E29" s="6"/>
      <c r="F29" s="6"/>
      <c r="G29" s="6"/>
      <c r="H29" s="6">
        <v>66</v>
      </c>
      <c r="I29" s="6">
        <v>157</v>
      </c>
      <c r="J29" s="6"/>
    </row>
    <row r="30" spans="1:10" x14ac:dyDescent="0.4">
      <c r="A30" s="123" t="s">
        <v>33</v>
      </c>
      <c r="B30" s="10" t="s">
        <v>11</v>
      </c>
      <c r="C30" s="11"/>
      <c r="D30" s="11"/>
      <c r="E30" s="11"/>
      <c r="F30" s="11"/>
      <c r="G30" s="11"/>
      <c r="H30" s="11"/>
      <c r="I30" s="8">
        <v>141</v>
      </c>
      <c r="J30" s="11"/>
    </row>
    <row r="31" spans="1:10" x14ac:dyDescent="0.4">
      <c r="A31" s="124"/>
      <c r="B31" s="10" t="s">
        <v>32</v>
      </c>
      <c r="C31" s="11"/>
      <c r="D31" s="11"/>
      <c r="E31" s="11"/>
      <c r="F31" s="11"/>
      <c r="G31" s="11"/>
      <c r="H31" s="11"/>
      <c r="I31" s="13">
        <v>132</v>
      </c>
      <c r="J31" s="11"/>
    </row>
    <row r="32" spans="1:10" x14ac:dyDescent="0.4">
      <c r="A32" s="124"/>
      <c r="B32" s="10" t="s">
        <v>27</v>
      </c>
      <c r="C32" s="11"/>
      <c r="D32" s="11"/>
      <c r="E32" s="11"/>
      <c r="F32" s="11"/>
      <c r="G32" s="11"/>
      <c r="H32" s="11"/>
      <c r="I32" s="8">
        <v>133</v>
      </c>
      <c r="J32" s="11"/>
    </row>
    <row r="33" spans="1:10" x14ac:dyDescent="0.4">
      <c r="A33" s="125"/>
      <c r="B33" s="10" t="s">
        <v>24</v>
      </c>
      <c r="C33" s="11"/>
      <c r="D33" s="11"/>
      <c r="E33" s="11"/>
      <c r="F33" s="11"/>
      <c r="G33" s="11"/>
      <c r="H33" s="11"/>
      <c r="I33" s="11">
        <v>153</v>
      </c>
      <c r="J33" s="11"/>
    </row>
    <row r="34" spans="1:10" x14ac:dyDescent="0.4">
      <c r="A34" s="120" t="s">
        <v>34</v>
      </c>
      <c r="B34" s="7" t="s">
        <v>10</v>
      </c>
      <c r="C34" s="6">
        <v>5</v>
      </c>
      <c r="D34" s="6"/>
      <c r="E34" s="6"/>
      <c r="F34" s="6"/>
      <c r="G34" s="6"/>
      <c r="H34" s="6">
        <v>20</v>
      </c>
      <c r="I34" s="6">
        <v>45</v>
      </c>
      <c r="J34" s="6"/>
    </row>
    <row r="35" spans="1:10" x14ac:dyDescent="0.4">
      <c r="A35" s="121"/>
      <c r="B35" s="7" t="s">
        <v>11</v>
      </c>
      <c r="C35" s="6">
        <v>6</v>
      </c>
      <c r="D35" s="6"/>
      <c r="E35" s="6"/>
      <c r="F35" s="6"/>
      <c r="G35" s="6"/>
      <c r="H35" s="6">
        <v>22</v>
      </c>
      <c r="I35" s="8">
        <v>49</v>
      </c>
      <c r="J35" s="6"/>
    </row>
    <row r="36" spans="1:10" x14ac:dyDescent="0.4">
      <c r="A36" s="121"/>
      <c r="B36" s="7" t="s">
        <v>12</v>
      </c>
      <c r="C36" s="6">
        <v>7</v>
      </c>
      <c r="D36" s="6"/>
      <c r="E36" s="6"/>
      <c r="F36" s="6"/>
      <c r="G36" s="6"/>
      <c r="H36" s="6">
        <v>26</v>
      </c>
      <c r="I36" s="6"/>
      <c r="J36" s="6"/>
    </row>
    <row r="37" spans="1:10" x14ac:dyDescent="0.4">
      <c r="A37" s="121"/>
      <c r="B37" s="7" t="s">
        <v>35</v>
      </c>
      <c r="C37" s="6">
        <v>6</v>
      </c>
      <c r="D37" s="6"/>
      <c r="E37" s="6"/>
      <c r="F37" s="6"/>
      <c r="G37" s="6"/>
      <c r="H37" s="6">
        <v>23</v>
      </c>
      <c r="I37" s="6">
        <v>51</v>
      </c>
      <c r="J37" s="6"/>
    </row>
    <row r="38" spans="1:10" x14ac:dyDescent="0.4">
      <c r="A38" s="121"/>
      <c r="B38" s="7" t="s">
        <v>36</v>
      </c>
      <c r="C38" s="6"/>
      <c r="D38" s="6"/>
      <c r="E38" s="6"/>
      <c r="F38" s="6"/>
      <c r="G38" s="6"/>
      <c r="H38" s="6">
        <v>30</v>
      </c>
      <c r="I38" s="6"/>
      <c r="J38" s="6"/>
    </row>
    <row r="39" spans="1:10" x14ac:dyDescent="0.4">
      <c r="A39" s="121"/>
      <c r="B39" s="7" t="s">
        <v>37</v>
      </c>
      <c r="C39" s="6"/>
      <c r="D39" s="6"/>
      <c r="E39" s="6"/>
      <c r="F39" s="6"/>
      <c r="G39" s="6"/>
      <c r="H39" s="6"/>
      <c r="I39" s="6">
        <v>45</v>
      </c>
      <c r="J39" s="6"/>
    </row>
    <row r="40" spans="1:10" x14ac:dyDescent="0.4">
      <c r="A40" s="121"/>
      <c r="B40" s="7" t="s">
        <v>38</v>
      </c>
      <c r="C40" s="6"/>
      <c r="D40" s="6"/>
      <c r="E40" s="6"/>
      <c r="F40" s="6"/>
      <c r="G40" s="6"/>
      <c r="H40" s="6"/>
      <c r="I40" s="6">
        <v>47</v>
      </c>
      <c r="J40" s="6"/>
    </row>
    <row r="41" spans="1:10" x14ac:dyDescent="0.4">
      <c r="A41" s="121"/>
      <c r="B41" s="7" t="s">
        <v>39</v>
      </c>
      <c r="C41" s="6"/>
      <c r="D41" s="6"/>
      <c r="E41" s="6"/>
      <c r="F41" s="6"/>
      <c r="G41" s="6"/>
      <c r="H41" s="6"/>
      <c r="I41" s="6">
        <v>21</v>
      </c>
      <c r="J41" s="6"/>
    </row>
    <row r="42" spans="1:10" x14ac:dyDescent="0.4">
      <c r="A42" s="121"/>
      <c r="B42" s="7" t="s">
        <v>40</v>
      </c>
      <c r="C42" s="6"/>
      <c r="D42" s="6"/>
      <c r="E42" s="6"/>
      <c r="F42" s="6"/>
      <c r="G42" s="6"/>
      <c r="H42" s="6"/>
      <c r="I42" s="6">
        <v>26</v>
      </c>
      <c r="J42" s="6"/>
    </row>
    <row r="43" spans="1:10" x14ac:dyDescent="0.4">
      <c r="A43" s="121"/>
      <c r="B43" s="7" t="s">
        <v>41</v>
      </c>
      <c r="C43" s="6"/>
      <c r="D43" s="6"/>
      <c r="E43" s="6"/>
      <c r="F43" s="6"/>
      <c r="G43" s="6"/>
      <c r="H43" s="6"/>
      <c r="I43" s="6">
        <v>21</v>
      </c>
      <c r="J43" s="6"/>
    </row>
    <row r="44" spans="1:10" x14ac:dyDescent="0.4">
      <c r="A44" s="121"/>
      <c r="B44" s="7" t="s">
        <v>42</v>
      </c>
      <c r="C44" s="6"/>
      <c r="D44" s="6"/>
      <c r="E44" s="6"/>
      <c r="F44" s="6"/>
      <c r="G44" s="6"/>
      <c r="H44" s="6"/>
      <c r="I44" s="6">
        <v>30</v>
      </c>
      <c r="J44" s="6"/>
    </row>
    <row r="45" spans="1:10" x14ac:dyDescent="0.4">
      <c r="A45" s="121"/>
      <c r="B45" s="7" t="s">
        <v>43</v>
      </c>
      <c r="C45" s="6"/>
      <c r="D45" s="6"/>
      <c r="E45" s="6"/>
      <c r="F45" s="6"/>
      <c r="G45" s="6"/>
      <c r="H45" s="6"/>
      <c r="I45" s="13">
        <v>33</v>
      </c>
      <c r="J45" s="6"/>
    </row>
    <row r="46" spans="1:10" x14ac:dyDescent="0.4">
      <c r="A46" s="121"/>
      <c r="B46" s="7" t="s">
        <v>46</v>
      </c>
      <c r="C46" s="6"/>
      <c r="D46" s="6">
        <v>4.5</v>
      </c>
      <c r="E46" s="6"/>
      <c r="F46" s="6"/>
      <c r="G46" s="6"/>
      <c r="H46" s="6"/>
      <c r="I46" s="6">
        <v>22</v>
      </c>
      <c r="J46" s="6"/>
    </row>
    <row r="47" spans="1:10" x14ac:dyDescent="0.4">
      <c r="A47" s="122"/>
      <c r="B47" s="7" t="s">
        <v>45</v>
      </c>
      <c r="C47" s="6"/>
      <c r="D47" s="6"/>
      <c r="E47" s="6"/>
      <c r="F47" s="6">
        <v>9</v>
      </c>
      <c r="G47" s="6"/>
      <c r="H47" s="6"/>
      <c r="I47" s="6"/>
      <c r="J47" s="6"/>
    </row>
    <row r="48" spans="1:10" x14ac:dyDescent="0.4">
      <c r="A48" s="123" t="s">
        <v>47</v>
      </c>
      <c r="B48" s="10" t="s">
        <v>23</v>
      </c>
      <c r="C48" s="11"/>
      <c r="D48" s="11"/>
      <c r="E48" s="11"/>
      <c r="F48" s="11"/>
      <c r="G48" s="11"/>
      <c r="H48" s="11"/>
      <c r="I48" s="13">
        <v>81</v>
      </c>
      <c r="J48" s="11"/>
    </row>
    <row r="49" spans="1:10" x14ac:dyDescent="0.4">
      <c r="A49" s="124"/>
      <c r="B49" s="10" t="s">
        <v>11</v>
      </c>
      <c r="C49" s="11"/>
      <c r="D49" s="11"/>
      <c r="E49" s="11"/>
      <c r="F49" s="11"/>
      <c r="G49" s="11"/>
      <c r="H49" s="11"/>
      <c r="I49" s="8">
        <v>103</v>
      </c>
      <c r="J49" s="11"/>
    </row>
    <row r="50" spans="1:10" x14ac:dyDescent="0.4">
      <c r="A50" s="124"/>
      <c r="B50" s="10" t="s">
        <v>12</v>
      </c>
      <c r="C50" s="11"/>
      <c r="D50" s="11"/>
      <c r="E50" s="11"/>
      <c r="F50" s="11"/>
      <c r="G50" s="11"/>
      <c r="H50" s="11"/>
      <c r="I50" s="11">
        <v>100</v>
      </c>
      <c r="J50" s="11"/>
    </row>
    <row r="51" spans="1:10" x14ac:dyDescent="0.4">
      <c r="A51" s="125"/>
      <c r="B51" s="10" t="s">
        <v>24</v>
      </c>
      <c r="C51" s="11"/>
      <c r="D51" s="11"/>
      <c r="E51" s="11"/>
      <c r="F51" s="11"/>
      <c r="G51" s="11"/>
      <c r="H51" s="11"/>
      <c r="I51" s="11">
        <v>116</v>
      </c>
      <c r="J51" s="11"/>
    </row>
    <row r="52" spans="1:10" x14ac:dyDescent="0.4">
      <c r="A52" s="120" t="s">
        <v>48</v>
      </c>
      <c r="B52" s="7" t="s">
        <v>23</v>
      </c>
      <c r="C52" s="6"/>
      <c r="D52" s="6">
        <v>10</v>
      </c>
      <c r="E52" s="6"/>
      <c r="F52" s="6"/>
      <c r="G52" s="6"/>
      <c r="H52" s="6"/>
      <c r="I52" s="6">
        <v>20</v>
      </c>
      <c r="J52" s="6"/>
    </row>
    <row r="53" spans="1:10" x14ac:dyDescent="0.4">
      <c r="A53" s="122"/>
      <c r="B53" s="7" t="s">
        <v>11</v>
      </c>
      <c r="C53" s="6"/>
      <c r="D53" s="6"/>
      <c r="E53" s="6"/>
      <c r="F53" s="6"/>
      <c r="G53" s="6"/>
      <c r="H53" s="6"/>
      <c r="I53" s="6">
        <v>36</v>
      </c>
      <c r="J53" s="6"/>
    </row>
    <row r="54" spans="1:10" x14ac:dyDescent="0.4">
      <c r="A54" s="123" t="s">
        <v>49</v>
      </c>
      <c r="B54" s="10" t="s">
        <v>50</v>
      </c>
      <c r="C54" s="11"/>
      <c r="D54" s="11"/>
      <c r="E54" s="11">
        <v>7</v>
      </c>
      <c r="F54" s="11"/>
      <c r="G54" s="11"/>
      <c r="H54" s="11"/>
      <c r="I54" s="11">
        <v>16</v>
      </c>
      <c r="J54" s="11"/>
    </row>
    <row r="55" spans="1:10" x14ac:dyDescent="0.4">
      <c r="A55" s="124"/>
      <c r="B55" s="10" t="s">
        <v>51</v>
      </c>
      <c r="C55" s="11"/>
      <c r="D55" s="11">
        <v>4</v>
      </c>
      <c r="E55" s="11">
        <v>7</v>
      </c>
      <c r="F55" s="11"/>
      <c r="G55" s="11"/>
      <c r="H55" s="11"/>
      <c r="I55" s="11">
        <v>16</v>
      </c>
      <c r="J55" s="11"/>
    </row>
    <row r="56" spans="1:10" x14ac:dyDescent="0.4">
      <c r="A56" s="124"/>
      <c r="B56" s="10" t="s">
        <v>52</v>
      </c>
      <c r="C56" s="11"/>
      <c r="D56" s="11">
        <v>4</v>
      </c>
      <c r="E56" s="11">
        <v>7</v>
      </c>
      <c r="F56" s="11"/>
      <c r="G56" s="11"/>
      <c r="H56" s="11"/>
      <c r="I56" s="11">
        <v>16</v>
      </c>
      <c r="J56" s="11"/>
    </row>
    <row r="57" spans="1:10" x14ac:dyDescent="0.4">
      <c r="A57" s="125"/>
      <c r="B57" s="10" t="s">
        <v>53</v>
      </c>
      <c r="C57" s="11"/>
      <c r="D57" s="11">
        <v>4</v>
      </c>
      <c r="E57" s="11">
        <v>7</v>
      </c>
      <c r="F57" s="11"/>
      <c r="G57" s="11"/>
      <c r="H57" s="11"/>
      <c r="I57" s="11">
        <v>16</v>
      </c>
      <c r="J57" s="11"/>
    </row>
    <row r="58" spans="1:10" x14ac:dyDescent="0.4">
      <c r="A58" s="7" t="s">
        <v>54</v>
      </c>
      <c r="B58" s="7" t="s">
        <v>55</v>
      </c>
      <c r="C58" s="6"/>
      <c r="D58" s="6"/>
      <c r="E58" s="6"/>
      <c r="F58" s="6"/>
      <c r="G58" s="6"/>
      <c r="H58" s="6"/>
      <c r="I58" s="6">
        <v>54</v>
      </c>
      <c r="J58" s="6"/>
    </row>
    <row r="59" spans="1:10" x14ac:dyDescent="0.4">
      <c r="A59" s="123" t="s">
        <v>57</v>
      </c>
      <c r="B59" s="10" t="s">
        <v>10</v>
      </c>
      <c r="C59" s="11">
        <v>4.5</v>
      </c>
      <c r="D59" s="11"/>
      <c r="E59" s="11"/>
      <c r="F59" s="11"/>
      <c r="G59" s="11"/>
      <c r="H59" s="11"/>
      <c r="I59" s="13">
        <v>33</v>
      </c>
      <c r="J59" s="11"/>
    </row>
    <row r="60" spans="1:10" x14ac:dyDescent="0.4">
      <c r="A60" s="124"/>
      <c r="B60" s="10" t="s">
        <v>11</v>
      </c>
      <c r="C60" s="11">
        <v>6</v>
      </c>
      <c r="D60" s="11"/>
      <c r="E60" s="11"/>
      <c r="F60" s="11"/>
      <c r="G60" s="11"/>
      <c r="H60" s="11"/>
      <c r="I60" s="17">
        <v>48</v>
      </c>
      <c r="J60" s="11"/>
    </row>
    <row r="61" spans="1:10" ht="31.2" x14ac:dyDescent="0.4">
      <c r="A61" s="124"/>
      <c r="B61" s="12" t="s">
        <v>58</v>
      </c>
      <c r="C61" s="11">
        <v>5</v>
      </c>
      <c r="D61" s="11"/>
      <c r="E61" s="11"/>
      <c r="F61" s="11"/>
      <c r="G61" s="11"/>
      <c r="H61" s="11"/>
      <c r="I61" s="11">
        <v>41</v>
      </c>
      <c r="J61" s="11"/>
    </row>
    <row r="62" spans="1:10" x14ac:dyDescent="0.4">
      <c r="A62" s="124"/>
      <c r="B62" s="10" t="s">
        <v>59</v>
      </c>
      <c r="C62" s="11"/>
      <c r="D62" s="11"/>
      <c r="E62" s="11">
        <v>8</v>
      </c>
      <c r="F62" s="11"/>
      <c r="G62" s="11"/>
      <c r="H62" s="11"/>
      <c r="I62" s="11">
        <v>25</v>
      </c>
      <c r="J62" s="8">
        <v>44</v>
      </c>
    </row>
    <row r="63" spans="1:10" x14ac:dyDescent="0.4">
      <c r="A63" s="125"/>
      <c r="B63" s="10" t="s">
        <v>46</v>
      </c>
      <c r="C63" s="11"/>
      <c r="D63" s="11">
        <v>4.5</v>
      </c>
      <c r="E63" s="11"/>
      <c r="F63" s="11"/>
      <c r="G63" s="11"/>
      <c r="H63" s="11"/>
      <c r="I63" s="11">
        <v>21</v>
      </c>
      <c r="J63" s="11"/>
    </row>
  </sheetData>
  <mergeCells count="12">
    <mergeCell ref="A59:A63"/>
    <mergeCell ref="A25:A29"/>
    <mergeCell ref="A30:A33"/>
    <mergeCell ref="A34:A47"/>
    <mergeCell ref="A48:A51"/>
    <mergeCell ref="A52:A53"/>
    <mergeCell ref="A54:A57"/>
    <mergeCell ref="A2:A8"/>
    <mergeCell ref="A9:A11"/>
    <mergeCell ref="A12:A15"/>
    <mergeCell ref="A16:A20"/>
    <mergeCell ref="A21:A24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3417B-3778-4921-A6D5-BB15B41D719E}">
  <sheetPr>
    <tabColor rgb="FFEE0000"/>
  </sheetPr>
  <dimension ref="A1:AE41"/>
  <sheetViews>
    <sheetView topLeftCell="B1" zoomScale="90" zoomScaleNormal="90" workbookViewId="0">
      <selection activeCell="T23" sqref="T23"/>
    </sheetView>
  </sheetViews>
  <sheetFormatPr defaultRowHeight="17.399999999999999" x14ac:dyDescent="0.4"/>
  <cols>
    <col min="1" max="1" width="26.59765625" style="16" hidden="1" customWidth="1"/>
    <col min="2" max="2" width="20" style="16" customWidth="1"/>
    <col min="3" max="3" width="46.69921875" customWidth="1"/>
    <col min="4" max="4" width="13.296875" hidden="1" customWidth="1"/>
    <col min="5" max="6" width="7.8984375" hidden="1" customWidth="1"/>
    <col min="7" max="7" width="12.09765625" hidden="1" customWidth="1"/>
    <col min="8" max="9" width="11.3984375" hidden="1" customWidth="1"/>
    <col min="10" max="10" width="9.8984375" hidden="1" customWidth="1"/>
    <col min="11" max="11" width="8.19921875" hidden="1" customWidth="1"/>
    <col min="12" max="14" width="10" hidden="1" customWidth="1"/>
    <col min="15" max="15" width="8.296875" hidden="1" customWidth="1"/>
    <col min="16" max="16" width="8.09765625" hidden="1" customWidth="1"/>
    <col min="17" max="17" width="9.3984375" hidden="1" customWidth="1"/>
    <col min="18" max="18" width="13.69921875" hidden="1" customWidth="1"/>
    <col min="19" max="19" width="3.8984375" customWidth="1"/>
    <col min="20" max="21" width="9.296875" customWidth="1"/>
    <col min="22" max="22" width="11" bestFit="1" customWidth="1"/>
    <col min="23" max="27" width="9.296875" customWidth="1"/>
    <col min="28" max="28" width="22" customWidth="1"/>
    <col min="29" max="29" width="13.09765625" bestFit="1" customWidth="1"/>
    <col min="30" max="30" width="13.09765625" customWidth="1"/>
    <col min="31" max="32" width="16.3984375" bestFit="1" customWidth="1"/>
  </cols>
  <sheetData>
    <row r="1" spans="2:31" x14ac:dyDescent="0.4">
      <c r="B1" s="33" t="s">
        <v>91</v>
      </c>
      <c r="C1" s="33" t="s">
        <v>89</v>
      </c>
      <c r="D1" s="33" t="s">
        <v>83</v>
      </c>
      <c r="E1" s="33" t="s">
        <v>84</v>
      </c>
      <c r="F1" s="140" t="s">
        <v>85</v>
      </c>
      <c r="G1" s="140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18" t="s">
        <v>78</v>
      </c>
      <c r="T1" s="18" t="s">
        <v>76</v>
      </c>
      <c r="U1" s="18" t="s">
        <v>92</v>
      </c>
      <c r="V1" s="18" t="s">
        <v>1</v>
      </c>
      <c r="W1" s="18" t="s">
        <v>94</v>
      </c>
      <c r="X1" s="75" t="s">
        <v>185</v>
      </c>
      <c r="Y1" s="76" t="s">
        <v>186</v>
      </c>
      <c r="Z1" s="75" t="s">
        <v>0</v>
      </c>
      <c r="AA1" s="77" t="s">
        <v>187</v>
      </c>
      <c r="AB1" s="18" t="s">
        <v>21</v>
      </c>
    </row>
    <row r="2" spans="2:31" x14ac:dyDescent="0.4">
      <c r="B2" s="126" t="s">
        <v>86</v>
      </c>
      <c r="C2" s="19" t="s">
        <v>66</v>
      </c>
      <c r="D2" s="32"/>
      <c r="E2" s="32">
        <v>852.09576099999992</v>
      </c>
      <c r="F2" s="24">
        <v>30000</v>
      </c>
      <c r="G2" s="24">
        <f>F2*0.95</f>
        <v>28500</v>
      </c>
      <c r="H2" s="24">
        <f>F2*0.9</f>
        <v>27000</v>
      </c>
      <c r="I2" s="24">
        <f>F2*0.85</f>
        <v>25500</v>
      </c>
      <c r="J2" s="24">
        <v>3000</v>
      </c>
      <c r="K2" s="4"/>
      <c r="L2" s="4"/>
      <c r="M2" s="4"/>
      <c r="N2" s="4"/>
      <c r="O2" s="4"/>
      <c r="P2" s="4"/>
      <c r="Q2" s="4"/>
      <c r="R2" s="4"/>
      <c r="S2" s="4">
        <v>1</v>
      </c>
      <c r="T2" s="4">
        <v>5047.5754999999999</v>
      </c>
      <c r="U2" s="24">
        <v>19000</v>
      </c>
      <c r="V2" s="20">
        <f t="shared" ref="V2:V6" si="0">U2*S2</f>
        <v>19000</v>
      </c>
      <c r="W2" s="4"/>
      <c r="X2" s="4"/>
      <c r="Y2" s="4"/>
      <c r="Z2" s="4"/>
      <c r="AA2" s="4"/>
      <c r="AB2" s="138" t="s">
        <v>96</v>
      </c>
    </row>
    <row r="3" spans="2:31" x14ac:dyDescent="0.4">
      <c r="B3" s="127"/>
      <c r="C3" s="19" t="s">
        <v>71</v>
      </c>
      <c r="D3" s="32">
        <v>3725.4151000000002</v>
      </c>
      <c r="E3" s="32">
        <v>3842.7366999999999</v>
      </c>
      <c r="F3" s="24">
        <v>14000</v>
      </c>
      <c r="G3" s="24">
        <f>F3*0.95</f>
        <v>13300</v>
      </c>
      <c r="H3" s="24">
        <f t="shared" ref="H3:H5" si="1">F3*0.9</f>
        <v>12600</v>
      </c>
      <c r="I3" s="24">
        <f t="shared" ref="I3:I5" si="2">F3*0.85</f>
        <v>11900</v>
      </c>
      <c r="J3" s="24">
        <v>12000</v>
      </c>
      <c r="K3" s="4"/>
      <c r="L3" s="4"/>
      <c r="M3" s="4"/>
      <c r="N3" s="4"/>
      <c r="O3" s="4"/>
      <c r="P3" s="4"/>
      <c r="Q3" s="4"/>
      <c r="R3" s="4"/>
      <c r="S3" s="4">
        <v>1</v>
      </c>
      <c r="T3" s="4">
        <v>6098.6475</v>
      </c>
      <c r="U3" s="24">
        <v>23000</v>
      </c>
      <c r="V3" s="20">
        <f t="shared" si="0"/>
        <v>23000</v>
      </c>
      <c r="W3" s="4"/>
      <c r="X3" s="4"/>
      <c r="Y3" s="4"/>
      <c r="Z3" s="4"/>
      <c r="AA3" s="4"/>
      <c r="AB3" s="139"/>
    </row>
    <row r="4" spans="2:31" x14ac:dyDescent="0.4">
      <c r="B4" s="127"/>
      <c r="C4" s="19" t="s">
        <v>68</v>
      </c>
      <c r="D4" s="32">
        <v>5714.2283000000007</v>
      </c>
      <c r="E4" s="32">
        <v>6792.0622000000003</v>
      </c>
      <c r="F4" s="24">
        <v>18000</v>
      </c>
      <c r="G4" s="24">
        <f t="shared" ref="G4:G5" si="3">F4*0.95</f>
        <v>17100</v>
      </c>
      <c r="H4" s="24">
        <f t="shared" si="1"/>
        <v>16200</v>
      </c>
      <c r="I4" s="24">
        <f t="shared" si="2"/>
        <v>15300</v>
      </c>
      <c r="J4" s="24">
        <v>16000</v>
      </c>
      <c r="K4" s="4"/>
      <c r="L4" s="4"/>
      <c r="M4" s="4"/>
      <c r="N4" s="4"/>
      <c r="O4" s="4"/>
      <c r="P4" s="4"/>
      <c r="Q4" s="4"/>
      <c r="R4" s="4"/>
      <c r="S4" s="4">
        <v>1</v>
      </c>
      <c r="T4" s="4">
        <v>6729.2906999999996</v>
      </c>
      <c r="U4" s="24">
        <v>26000</v>
      </c>
      <c r="V4" s="20">
        <f t="shared" si="0"/>
        <v>26000</v>
      </c>
      <c r="W4" s="4"/>
      <c r="X4" s="4"/>
      <c r="Y4" s="4"/>
      <c r="Z4" s="4"/>
      <c r="AA4" s="4"/>
      <c r="AB4" s="139"/>
    </row>
    <row r="5" spans="2:31" x14ac:dyDescent="0.4">
      <c r="B5" s="127"/>
      <c r="C5" s="19" t="s">
        <v>69</v>
      </c>
      <c r="D5" s="32">
        <v>4478.4393500000006</v>
      </c>
      <c r="E5" s="32">
        <v>5047.5754999999999</v>
      </c>
      <c r="F5" s="24">
        <v>19000</v>
      </c>
      <c r="G5" s="24">
        <f t="shared" si="3"/>
        <v>18050</v>
      </c>
      <c r="H5" s="24">
        <f t="shared" si="1"/>
        <v>17100</v>
      </c>
      <c r="I5" s="24">
        <f t="shared" si="2"/>
        <v>16150</v>
      </c>
      <c r="J5" s="24">
        <v>14000</v>
      </c>
      <c r="K5" s="4"/>
      <c r="L5" s="4"/>
      <c r="M5" s="4"/>
      <c r="N5" s="4"/>
      <c r="O5" s="4"/>
      <c r="P5" s="4"/>
      <c r="Q5" s="4"/>
      <c r="R5" s="4"/>
      <c r="S5" s="4">
        <v>1</v>
      </c>
      <c r="T5" s="4">
        <v>7570.1482999999998</v>
      </c>
      <c r="U5" s="24">
        <v>35000</v>
      </c>
      <c r="V5" s="20">
        <f t="shared" si="0"/>
        <v>35000</v>
      </c>
      <c r="W5" s="4"/>
      <c r="X5" s="4"/>
      <c r="Y5" s="4"/>
      <c r="Z5" s="4"/>
      <c r="AA5" s="4"/>
      <c r="AB5" s="139"/>
    </row>
    <row r="6" spans="2:31" x14ac:dyDescent="0.4">
      <c r="B6" s="127"/>
      <c r="C6" s="19" t="s">
        <v>67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>
        <v>1</v>
      </c>
      <c r="T6" s="4">
        <v>6203.7546999999995</v>
      </c>
      <c r="U6" s="24">
        <v>24000</v>
      </c>
      <c r="V6" s="20">
        <f t="shared" si="0"/>
        <v>24000</v>
      </c>
      <c r="W6" s="4"/>
      <c r="X6" s="4"/>
      <c r="Y6" s="4"/>
      <c r="Z6" s="4"/>
      <c r="AA6" s="4"/>
      <c r="AB6" s="139"/>
    </row>
    <row r="7" spans="2:31" x14ac:dyDescent="0.4">
      <c r="B7" s="128"/>
      <c r="C7" s="21" t="s">
        <v>90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>
        <f>SUM(T2:T6)</f>
        <v>31649.416700000002</v>
      </c>
      <c r="U7" s="15"/>
      <c r="V7" s="35">
        <f>SUM(V2:V6)*0.8</f>
        <v>101600</v>
      </c>
      <c r="W7" s="37">
        <v>110000</v>
      </c>
      <c r="X7" s="37"/>
      <c r="Y7" s="37"/>
      <c r="Z7" s="37"/>
      <c r="AA7" s="37"/>
      <c r="AB7" s="139"/>
    </row>
    <row r="8" spans="2:31" x14ac:dyDescent="0.4">
      <c r="B8" s="142" t="s">
        <v>87</v>
      </c>
      <c r="C8" s="19" t="s">
        <v>208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>
        <v>2</v>
      </c>
      <c r="T8" s="4">
        <f>6792.0622*2</f>
        <v>13584.124400000001</v>
      </c>
      <c r="U8" s="24">
        <v>18000</v>
      </c>
      <c r="V8" s="20">
        <f>U8*S8</f>
        <v>36000</v>
      </c>
      <c r="W8" s="4"/>
      <c r="X8" s="4"/>
      <c r="Y8" s="4"/>
      <c r="Z8" s="4"/>
      <c r="AA8" s="4"/>
      <c r="AB8" s="139"/>
    </row>
    <row r="9" spans="2:31" x14ac:dyDescent="0.4">
      <c r="B9" s="142"/>
      <c r="C9" s="19" t="s">
        <v>209</v>
      </c>
      <c r="D9" s="4" t="s">
        <v>209</v>
      </c>
      <c r="E9" s="4" t="s">
        <v>209</v>
      </c>
      <c r="F9" s="4" t="s">
        <v>209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>
        <v>2</v>
      </c>
      <c r="T9" s="4">
        <f>6739.5086*2</f>
        <v>13479.0172</v>
      </c>
      <c r="U9" s="24">
        <v>21000</v>
      </c>
      <c r="V9" s="20">
        <f t="shared" ref="V9:V11" si="4">U9*S9</f>
        <v>42000</v>
      </c>
      <c r="W9" s="4"/>
      <c r="X9" s="4"/>
      <c r="Y9" s="4"/>
      <c r="Z9" s="4"/>
      <c r="AA9" s="4"/>
      <c r="AB9" s="139"/>
    </row>
    <row r="10" spans="2:31" x14ac:dyDescent="0.4">
      <c r="B10" s="142"/>
      <c r="C10" s="19" t="s">
        <v>210</v>
      </c>
      <c r="D10" s="4" t="s">
        <v>210</v>
      </c>
      <c r="E10" s="4" t="s">
        <v>210</v>
      </c>
      <c r="F10" s="4" t="s">
        <v>210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>
        <v>2</v>
      </c>
      <c r="T10" s="4">
        <f>6203.7547*2</f>
        <v>12407.509400000001</v>
      </c>
      <c r="U10" s="24">
        <v>24000</v>
      </c>
      <c r="V10" s="20">
        <f t="shared" si="4"/>
        <v>48000</v>
      </c>
      <c r="W10" s="4"/>
      <c r="X10" s="4"/>
      <c r="Y10" s="4"/>
      <c r="Z10" s="4"/>
      <c r="AA10" s="4"/>
      <c r="AB10" s="139"/>
    </row>
    <row r="11" spans="2:31" x14ac:dyDescent="0.4">
      <c r="B11" s="142"/>
      <c r="C11" s="19" t="s">
        <v>211</v>
      </c>
      <c r="D11" s="4" t="s">
        <v>211</v>
      </c>
      <c r="E11" s="4" t="s">
        <v>211</v>
      </c>
      <c r="F11" s="4" t="s">
        <v>211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>
        <v>2</v>
      </c>
      <c r="T11" s="4">
        <f>6729.2907*2</f>
        <v>13458.581399999999</v>
      </c>
      <c r="U11" s="24">
        <v>26000</v>
      </c>
      <c r="V11" s="20">
        <f t="shared" si="4"/>
        <v>52000</v>
      </c>
      <c r="W11" s="4"/>
      <c r="X11" s="4"/>
      <c r="Y11" s="4"/>
      <c r="Z11" s="4"/>
      <c r="AA11" s="4"/>
      <c r="AB11" s="139"/>
      <c r="AE11" s="36"/>
    </row>
    <row r="12" spans="2:31" x14ac:dyDescent="0.4">
      <c r="B12" s="142"/>
      <c r="C12" s="21" t="s">
        <v>90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>
        <f>SUM(T8:T11)</f>
        <v>52929.232400000008</v>
      </c>
      <c r="U12" s="15"/>
      <c r="V12" s="35">
        <f>SUM(V8:V11)*0.8</f>
        <v>142400</v>
      </c>
      <c r="W12" s="37">
        <v>210000</v>
      </c>
      <c r="X12" s="37"/>
      <c r="Y12" s="37">
        <v>140000</v>
      </c>
      <c r="Z12" s="37">
        <f>Y12*0.1</f>
        <v>14000</v>
      </c>
      <c r="AA12" s="37">
        <f>Y12+Z12</f>
        <v>154000</v>
      </c>
      <c r="AB12" s="139"/>
    </row>
    <row r="13" spans="2:31" x14ac:dyDescent="0.4">
      <c r="B13" s="142" t="s">
        <v>88</v>
      </c>
      <c r="C13" s="19" t="s">
        <v>212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>
        <v>3</v>
      </c>
      <c r="T13" s="4">
        <f>7107.3838*3</f>
        <v>21322.151399999999</v>
      </c>
      <c r="U13" s="24">
        <v>29000</v>
      </c>
      <c r="V13" s="20">
        <f>U13*S13</f>
        <v>87000</v>
      </c>
      <c r="W13" s="4"/>
      <c r="X13" s="4"/>
      <c r="Y13" s="4"/>
      <c r="Z13" s="4"/>
      <c r="AA13" s="4"/>
      <c r="AB13" s="139"/>
    </row>
    <row r="14" spans="2:31" x14ac:dyDescent="0.4">
      <c r="B14" s="142"/>
      <c r="C14" s="19" t="s">
        <v>213</v>
      </c>
      <c r="D14" s="4" t="s">
        <v>209</v>
      </c>
      <c r="E14" s="4" t="s">
        <v>209</v>
      </c>
      <c r="F14" s="4" t="s">
        <v>209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>
        <v>4</v>
      </c>
      <c r="T14" s="4">
        <f>10262.49697*4</f>
        <v>41049.987880000001</v>
      </c>
      <c r="U14" s="24">
        <v>42000</v>
      </c>
      <c r="V14" s="20">
        <f>U14*S14</f>
        <v>168000</v>
      </c>
      <c r="W14" s="4"/>
      <c r="X14" s="4"/>
      <c r="Y14" s="4"/>
      <c r="Z14" s="4"/>
      <c r="AA14" s="4"/>
      <c r="AB14" s="139"/>
    </row>
    <row r="15" spans="2:31" x14ac:dyDescent="0.4">
      <c r="B15" s="142"/>
      <c r="C15" s="21" t="s">
        <v>90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>
        <f>SUM(T13:T14)</f>
        <v>62372.139280000003</v>
      </c>
      <c r="U15" s="15"/>
      <c r="V15" s="35">
        <f>SUM(V13:V14)*0.8</f>
        <v>204000</v>
      </c>
      <c r="W15" s="37">
        <v>250000</v>
      </c>
      <c r="X15" s="37"/>
      <c r="Y15" s="37">
        <v>170000</v>
      </c>
      <c r="Z15" s="37">
        <f>Y15*0.1</f>
        <v>17000</v>
      </c>
      <c r="AA15" s="37">
        <f>Y15+Z15</f>
        <v>187000</v>
      </c>
      <c r="AB15" s="139"/>
    </row>
    <row r="16" spans="2:31" x14ac:dyDescent="0.4">
      <c r="B16" s="142" t="s">
        <v>95</v>
      </c>
      <c r="C16" s="19" t="s">
        <v>214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>
        <v>3</v>
      </c>
      <c r="T16" s="4">
        <f>36800*3</f>
        <v>110400</v>
      </c>
      <c r="U16" s="24">
        <v>55000</v>
      </c>
      <c r="V16" s="20">
        <f>U16*S16</f>
        <v>165000</v>
      </c>
      <c r="W16" s="4"/>
      <c r="X16" s="4"/>
      <c r="Y16" s="4"/>
      <c r="Z16" s="4"/>
      <c r="AA16" s="4"/>
      <c r="AB16" s="139"/>
    </row>
    <row r="17" spans="2:28" x14ac:dyDescent="0.4">
      <c r="B17" s="142"/>
      <c r="C17" s="7" t="s">
        <v>215</v>
      </c>
      <c r="D17" s="4" t="s">
        <v>209</v>
      </c>
      <c r="E17" s="4" t="s">
        <v>209</v>
      </c>
      <c r="F17" s="4" t="s">
        <v>209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>
        <v>4</v>
      </c>
      <c r="T17" s="4">
        <f>40000*4</f>
        <v>160000</v>
      </c>
      <c r="U17" s="24">
        <v>60000</v>
      </c>
      <c r="V17" s="20">
        <f>U17*S17</f>
        <v>240000</v>
      </c>
      <c r="W17" s="4"/>
      <c r="X17" s="4"/>
      <c r="Y17" s="4"/>
      <c r="Z17" s="4"/>
      <c r="AA17" s="4"/>
      <c r="AB17" s="139"/>
    </row>
    <row r="18" spans="2:28" x14ac:dyDescent="0.4">
      <c r="B18" s="142"/>
      <c r="C18" s="21" t="s">
        <v>90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>
        <f>SUM(T16:T17)</f>
        <v>270400</v>
      </c>
      <c r="U18" s="15"/>
      <c r="V18" s="35">
        <f>SUM(V16:V17)*0.8</f>
        <v>324000</v>
      </c>
      <c r="W18" s="37">
        <v>370000</v>
      </c>
      <c r="X18" s="37"/>
      <c r="Y18" s="37">
        <v>270000</v>
      </c>
      <c r="Z18" s="37">
        <f>Y18*0.1</f>
        <v>27000</v>
      </c>
      <c r="AA18" s="37">
        <f>Y18+Z18</f>
        <v>297000</v>
      </c>
      <c r="AB18" s="139"/>
    </row>
    <row r="19" spans="2:28" x14ac:dyDescent="0.4">
      <c r="B19" s="126" t="s">
        <v>207</v>
      </c>
      <c r="C19" s="19" t="s">
        <v>216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>
        <v>5</v>
      </c>
      <c r="T19" s="4">
        <f>6739.5086*5</f>
        <v>33697.542999999998</v>
      </c>
      <c r="U19" s="24">
        <v>95000</v>
      </c>
      <c r="V19" s="20">
        <f>U19*S19</f>
        <v>475000</v>
      </c>
      <c r="W19" s="4"/>
      <c r="X19" s="4"/>
      <c r="Y19" s="4"/>
      <c r="Z19" s="4"/>
      <c r="AA19" s="4"/>
      <c r="AB19" s="141" t="s">
        <v>93</v>
      </c>
    </row>
    <row r="20" spans="2:28" x14ac:dyDescent="0.4">
      <c r="B20" s="127"/>
      <c r="C20" s="19" t="s">
        <v>217</v>
      </c>
      <c r="D20" s="4" t="s">
        <v>209</v>
      </c>
      <c r="E20" s="4" t="s">
        <v>209</v>
      </c>
      <c r="F20" s="4" t="s">
        <v>209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>
        <v>5</v>
      </c>
      <c r="T20" s="4">
        <f>40000*5</f>
        <v>200000</v>
      </c>
      <c r="U20" s="24">
        <v>350000</v>
      </c>
      <c r="V20" s="20"/>
      <c r="W20" s="4"/>
      <c r="X20" s="4"/>
      <c r="Y20" s="4"/>
      <c r="Z20" s="4"/>
      <c r="AA20" s="4"/>
      <c r="AB20" s="141"/>
    </row>
    <row r="21" spans="2:28" x14ac:dyDescent="0.4">
      <c r="B21" s="128"/>
      <c r="C21" s="21" t="s">
        <v>90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35">
        <f>SUM(V19:V19)*0.8</f>
        <v>380000</v>
      </c>
      <c r="W21" s="37">
        <v>400000</v>
      </c>
      <c r="X21" s="37"/>
      <c r="Y21" s="37">
        <v>290000</v>
      </c>
      <c r="Z21" s="37">
        <f>Y21*0.1</f>
        <v>29000</v>
      </c>
      <c r="AA21" s="37">
        <f>Y21+Z21</f>
        <v>319000</v>
      </c>
      <c r="AB21" s="139"/>
    </row>
    <row r="26" spans="2:28" ht="18" thickBot="1" x14ac:dyDescent="0.45">
      <c r="C26" s="34"/>
    </row>
    <row r="27" spans="2:28" x14ac:dyDescent="0.4">
      <c r="V27" s="75" t="s">
        <v>185</v>
      </c>
      <c r="W27" s="76" t="s">
        <v>186</v>
      </c>
      <c r="X27" s="75" t="s">
        <v>0</v>
      </c>
      <c r="Y27" s="77" t="s">
        <v>187</v>
      </c>
    </row>
    <row r="28" spans="2:28" x14ac:dyDescent="0.4">
      <c r="V28" s="129">
        <v>210000</v>
      </c>
      <c r="W28" s="129">
        <v>140000</v>
      </c>
      <c r="X28" s="131">
        <f>W28*0.1</f>
        <v>14000</v>
      </c>
      <c r="Y28" s="133">
        <f>W28+X28</f>
        <v>154000</v>
      </c>
    </row>
    <row r="29" spans="2:28" x14ac:dyDescent="0.4">
      <c r="V29" s="135"/>
      <c r="W29" s="135"/>
      <c r="X29" s="136"/>
      <c r="Y29" s="137"/>
    </row>
    <row r="30" spans="2:28" x14ac:dyDescent="0.4">
      <c r="V30" s="135"/>
      <c r="W30" s="135"/>
      <c r="X30" s="136"/>
      <c r="Y30" s="137"/>
    </row>
    <row r="31" spans="2:28" x14ac:dyDescent="0.4">
      <c r="V31" s="130"/>
      <c r="W31" s="130"/>
      <c r="X31" s="132"/>
      <c r="Y31" s="134"/>
    </row>
    <row r="32" spans="2:28" x14ac:dyDescent="0.4">
      <c r="V32" s="129">
        <v>250000</v>
      </c>
      <c r="W32" s="129">
        <v>170000</v>
      </c>
      <c r="X32" s="131">
        <f>W32*0.1</f>
        <v>17000</v>
      </c>
      <c r="Y32" s="133">
        <f>W32+X32</f>
        <v>187000</v>
      </c>
    </row>
    <row r="33" spans="22:25" x14ac:dyDescent="0.4">
      <c r="V33" s="130"/>
      <c r="W33" s="130"/>
      <c r="X33" s="132"/>
      <c r="Y33" s="134"/>
    </row>
    <row r="34" spans="22:25" ht="18" thickBot="1" x14ac:dyDescent="0.45">
      <c r="V34" s="78"/>
      <c r="W34" s="79"/>
      <c r="X34" s="80"/>
      <c r="Y34" s="81"/>
    </row>
    <row r="35" spans="22:25" x14ac:dyDescent="0.4">
      <c r="V35" s="82" t="s">
        <v>185</v>
      </c>
      <c r="W35" s="83" t="s">
        <v>186</v>
      </c>
      <c r="X35" s="82" t="s">
        <v>0</v>
      </c>
      <c r="Y35" s="84" t="s">
        <v>187</v>
      </c>
    </row>
    <row r="36" spans="22:25" x14ac:dyDescent="0.4">
      <c r="V36" s="129">
        <v>370000</v>
      </c>
      <c r="W36" s="129">
        <v>270000</v>
      </c>
      <c r="X36" s="131">
        <f>W36*0.1</f>
        <v>27000</v>
      </c>
      <c r="Y36" s="133">
        <f>W36+X36</f>
        <v>297000</v>
      </c>
    </row>
    <row r="37" spans="22:25" x14ac:dyDescent="0.4">
      <c r="V37" s="130"/>
      <c r="W37" s="130"/>
      <c r="X37" s="132"/>
      <c r="Y37" s="134"/>
    </row>
    <row r="38" spans="22:25" ht="18" thickBot="1" x14ac:dyDescent="0.45">
      <c r="V38" s="78"/>
      <c r="W38" s="79"/>
      <c r="X38" s="80"/>
      <c r="Y38" s="81"/>
    </row>
    <row r="39" spans="22:25" x14ac:dyDescent="0.4">
      <c r="V39" s="85" t="s">
        <v>185</v>
      </c>
      <c r="W39" s="86" t="s">
        <v>186</v>
      </c>
      <c r="X39" s="85" t="s">
        <v>0</v>
      </c>
      <c r="Y39" s="87" t="s">
        <v>187</v>
      </c>
    </row>
    <row r="40" spans="22:25" x14ac:dyDescent="0.4">
      <c r="V40" s="129">
        <v>400000</v>
      </c>
      <c r="W40" s="129">
        <v>290000</v>
      </c>
      <c r="X40" s="131">
        <f>W40*0.1</f>
        <v>29000</v>
      </c>
      <c r="Y40" s="133">
        <f>W40+X40</f>
        <v>319000</v>
      </c>
    </row>
    <row r="41" spans="22:25" x14ac:dyDescent="0.4">
      <c r="V41" s="130"/>
      <c r="W41" s="130"/>
      <c r="X41" s="132"/>
      <c r="Y41" s="134"/>
    </row>
  </sheetData>
  <mergeCells count="24">
    <mergeCell ref="AB2:AB18"/>
    <mergeCell ref="F1:G1"/>
    <mergeCell ref="AB19:AB21"/>
    <mergeCell ref="B19:B21"/>
    <mergeCell ref="B8:B12"/>
    <mergeCell ref="B13:B15"/>
    <mergeCell ref="B16:B18"/>
    <mergeCell ref="W28:W31"/>
    <mergeCell ref="X28:X31"/>
    <mergeCell ref="Y28:Y31"/>
    <mergeCell ref="V28:V31"/>
    <mergeCell ref="B2:B7"/>
    <mergeCell ref="V40:V41"/>
    <mergeCell ref="W40:W41"/>
    <mergeCell ref="X40:X41"/>
    <mergeCell ref="Y40:Y41"/>
    <mergeCell ref="V32:V33"/>
    <mergeCell ref="W32:W33"/>
    <mergeCell ref="X32:X33"/>
    <mergeCell ref="Y32:Y33"/>
    <mergeCell ref="V36:V37"/>
    <mergeCell ref="W36:W37"/>
    <mergeCell ref="X36:X37"/>
    <mergeCell ref="Y36:Y37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86032-DFF4-4200-A345-99DB3A4F24F5}">
  <dimension ref="A1:G11"/>
  <sheetViews>
    <sheetView workbookViewId="0">
      <selection activeCell="B11" sqref="B11"/>
    </sheetView>
  </sheetViews>
  <sheetFormatPr defaultRowHeight="17.399999999999999" x14ac:dyDescent="0.4"/>
  <cols>
    <col min="1" max="1" width="34" bestFit="1" customWidth="1"/>
    <col min="2" max="2" width="66.09765625" customWidth="1"/>
    <col min="3" max="3" width="9.8984375" bestFit="1" customWidth="1"/>
    <col min="4" max="4" width="7.69921875" bestFit="1" customWidth="1"/>
    <col min="5" max="5" width="3.69921875" bestFit="1" customWidth="1"/>
    <col min="6" max="6" width="10.09765625" bestFit="1" customWidth="1"/>
    <col min="7" max="7" width="68.8984375" customWidth="1"/>
  </cols>
  <sheetData>
    <row r="1" spans="1:7" x14ac:dyDescent="0.4">
      <c r="A1" s="38" t="s">
        <v>218</v>
      </c>
      <c r="B1" s="39" t="s">
        <v>219</v>
      </c>
      <c r="C1" s="39" t="s">
        <v>220</v>
      </c>
      <c r="D1" s="39" t="s">
        <v>221</v>
      </c>
      <c r="E1" s="39" t="s">
        <v>222</v>
      </c>
      <c r="F1" s="39" t="s">
        <v>223</v>
      </c>
      <c r="G1" s="39" t="s">
        <v>224</v>
      </c>
    </row>
    <row r="2" spans="1:7" x14ac:dyDescent="0.4">
      <c r="A2" s="61" t="s">
        <v>225</v>
      </c>
      <c r="B2" s="88" t="s">
        <v>226</v>
      </c>
      <c r="C2" s="44" t="s">
        <v>227</v>
      </c>
      <c r="D2" s="43" t="s">
        <v>228</v>
      </c>
      <c r="E2" s="43">
        <v>37</v>
      </c>
      <c r="F2" s="42" t="s">
        <v>229</v>
      </c>
      <c r="G2" s="88" t="s">
        <v>230</v>
      </c>
    </row>
    <row r="3" spans="1:7" x14ac:dyDescent="0.4">
      <c r="A3" s="61" t="s">
        <v>231</v>
      </c>
      <c r="B3" s="88" t="s">
        <v>232</v>
      </c>
      <c r="C3" s="44" t="s">
        <v>227</v>
      </c>
      <c r="D3" s="43" t="s">
        <v>233</v>
      </c>
      <c r="E3" s="43">
        <v>44</v>
      </c>
      <c r="F3" s="42" t="s">
        <v>234</v>
      </c>
      <c r="G3" s="88" t="s">
        <v>235</v>
      </c>
    </row>
    <row r="4" spans="1:7" x14ac:dyDescent="0.4">
      <c r="A4" s="48" t="s">
        <v>236</v>
      </c>
      <c r="B4" s="88" t="s">
        <v>237</v>
      </c>
      <c r="C4" s="44" t="s">
        <v>238</v>
      </c>
      <c r="D4" s="43" t="s">
        <v>233</v>
      </c>
      <c r="E4" s="43">
        <v>44</v>
      </c>
      <c r="F4" s="42" t="s">
        <v>234</v>
      </c>
      <c r="G4" s="88" t="s">
        <v>239</v>
      </c>
    </row>
    <row r="5" spans="1:7" x14ac:dyDescent="0.4">
      <c r="A5" s="48" t="s">
        <v>240</v>
      </c>
      <c r="B5" s="88" t="s">
        <v>241</v>
      </c>
      <c r="C5" s="44" t="s">
        <v>242</v>
      </c>
      <c r="D5" s="43" t="s">
        <v>233</v>
      </c>
      <c r="E5" s="43">
        <v>44</v>
      </c>
      <c r="F5" s="42" t="s">
        <v>234</v>
      </c>
      <c r="G5" s="88" t="s">
        <v>243</v>
      </c>
    </row>
    <row r="6" spans="1:7" x14ac:dyDescent="0.4">
      <c r="A6" s="61" t="s">
        <v>244</v>
      </c>
      <c r="B6" s="88" t="s">
        <v>245</v>
      </c>
      <c r="C6" s="44" t="s">
        <v>238</v>
      </c>
      <c r="D6" s="43" t="s">
        <v>233</v>
      </c>
      <c r="E6" s="43">
        <v>44</v>
      </c>
      <c r="F6" s="42" t="s">
        <v>234</v>
      </c>
      <c r="G6" s="88" t="s">
        <v>246</v>
      </c>
    </row>
    <row r="7" spans="1:7" x14ac:dyDescent="0.4">
      <c r="A7" s="48">
        <v>1881</v>
      </c>
      <c r="B7" s="88" t="s">
        <v>247</v>
      </c>
      <c r="C7" s="44" t="s">
        <v>242</v>
      </c>
      <c r="D7" s="43" t="s">
        <v>233</v>
      </c>
      <c r="E7" s="43">
        <v>44</v>
      </c>
      <c r="F7" s="42" t="s">
        <v>234</v>
      </c>
      <c r="G7" s="88" t="s">
        <v>248</v>
      </c>
    </row>
    <row r="8" spans="1:7" x14ac:dyDescent="0.4">
      <c r="A8" s="48" t="s">
        <v>249</v>
      </c>
      <c r="B8" s="88" t="s">
        <v>250</v>
      </c>
      <c r="C8" s="44" t="s">
        <v>251</v>
      </c>
      <c r="D8" s="43" t="s">
        <v>252</v>
      </c>
      <c r="E8" s="43">
        <v>52</v>
      </c>
      <c r="F8" s="42" t="s">
        <v>253</v>
      </c>
      <c r="G8" s="88" t="s">
        <v>254</v>
      </c>
    </row>
    <row r="9" spans="1:7" x14ac:dyDescent="0.4">
      <c r="A9" s="48" t="s">
        <v>255</v>
      </c>
      <c r="B9" s="88" t="s">
        <v>256</v>
      </c>
      <c r="C9" s="44" t="s">
        <v>238</v>
      </c>
      <c r="D9" s="43" t="s">
        <v>257</v>
      </c>
      <c r="E9" s="43">
        <v>52</v>
      </c>
      <c r="F9" s="42" t="s">
        <v>258</v>
      </c>
      <c r="G9" s="88" t="s">
        <v>259</v>
      </c>
    </row>
    <row r="10" spans="1:7" x14ac:dyDescent="0.4">
      <c r="A10" s="48" t="s">
        <v>260</v>
      </c>
      <c r="B10" s="88" t="s">
        <v>261</v>
      </c>
      <c r="C10" s="44" t="s">
        <v>251</v>
      </c>
      <c r="D10" s="43" t="s">
        <v>257</v>
      </c>
      <c r="E10" s="43">
        <v>55</v>
      </c>
      <c r="F10" s="42" t="s">
        <v>258</v>
      </c>
      <c r="G10" s="88" t="s">
        <v>262</v>
      </c>
    </row>
    <row r="11" spans="1:7" x14ac:dyDescent="0.4">
      <c r="A11" s="48" t="s">
        <v>263</v>
      </c>
      <c r="B11" s="88" t="s">
        <v>264</v>
      </c>
      <c r="C11" s="44" t="s">
        <v>238</v>
      </c>
      <c r="D11" s="43" t="s">
        <v>252</v>
      </c>
      <c r="E11" s="43">
        <v>50</v>
      </c>
      <c r="F11" s="42" t="s">
        <v>253</v>
      </c>
      <c r="G11" s="88" t="s">
        <v>265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가격분석</vt:lpstr>
      <vt:lpstr>시가특징</vt:lpstr>
      <vt:lpstr>(참고)본사정식수출가격</vt:lpstr>
      <vt:lpstr>선물세트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박민경</dc:creator>
  <cp:lastModifiedBy>민경 박</cp:lastModifiedBy>
  <dcterms:created xsi:type="dcterms:W3CDTF">2025-04-29T03:03:07Z</dcterms:created>
  <dcterms:modified xsi:type="dcterms:W3CDTF">2026-03-21T23:41:21Z</dcterms:modified>
</cp:coreProperties>
</file>