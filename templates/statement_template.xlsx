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ovec\Documents\데일리시가\0.재무\거래업체관리\퍼프시가바\"/>
    </mc:Choice>
  </mc:AlternateContent>
  <xr:revisionPtr revIDLastSave="0" documentId="8_{1FFBFDC5-BF71-034F-A067-D38D8ECA8A9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거래명세서" sheetId="1" r:id="rId1"/>
  </sheets>
  <definedNames>
    <definedName name="_xlnm.Print_Area" localSheetId="0">거래명세서!$A$1:$K$49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1" l="1"/>
  <c r="I36" i="1"/>
  <c r="J36" i="1"/>
  <c r="H35" i="1"/>
  <c r="H34" i="1"/>
  <c r="H33" i="1"/>
  <c r="H32" i="1"/>
  <c r="H31" i="1"/>
  <c r="H30" i="1"/>
  <c r="H29" i="1"/>
  <c r="H28" i="1"/>
  <c r="I28" i="1"/>
  <c r="J28" i="1"/>
  <c r="H27" i="1"/>
  <c r="H26" i="1"/>
  <c r="H25" i="1"/>
  <c r="H24" i="1"/>
  <c r="H23" i="1"/>
  <c r="H22" i="1"/>
  <c r="H21" i="1"/>
  <c r="H20" i="1"/>
  <c r="H19" i="1"/>
  <c r="I19" i="1"/>
  <c r="H18" i="1"/>
  <c r="I34" i="1"/>
  <c r="J34" i="1"/>
  <c r="I35" i="1"/>
  <c r="J35" i="1"/>
  <c r="I32" i="1"/>
  <c r="J32" i="1"/>
  <c r="I33" i="1"/>
  <c r="J33" i="1"/>
  <c r="I30" i="1"/>
  <c r="J30" i="1"/>
  <c r="I31" i="1"/>
  <c r="J31" i="1"/>
  <c r="I29" i="1"/>
  <c r="J29" i="1"/>
  <c r="I26" i="1"/>
  <c r="J26" i="1"/>
  <c r="I27" i="1"/>
  <c r="J27" i="1"/>
  <c r="I24" i="1"/>
  <c r="J24" i="1"/>
  <c r="I25" i="1"/>
  <c r="J25" i="1"/>
  <c r="I22" i="1"/>
  <c r="J22" i="1"/>
  <c r="I23" i="1"/>
  <c r="J23" i="1"/>
  <c r="I20" i="1"/>
  <c r="I21" i="1"/>
  <c r="J21" i="1"/>
  <c r="I39" i="1"/>
  <c r="I18" i="1"/>
  <c r="J18" i="1"/>
  <c r="J19" i="1"/>
  <c r="I40" i="1"/>
  <c r="I41" i="1"/>
  <c r="J20" i="1"/>
</calcChain>
</file>

<file path=xl/sharedStrings.xml><?xml version="1.0" encoding="utf-8"?>
<sst xmlns="http://schemas.openxmlformats.org/spreadsheetml/2006/main" count="47" uniqueCount="47">
  <si>
    <t>거 래 명 세 서</t>
  </si>
  <si>
    <t>고객명 (담당자명)</t>
  </si>
  <si>
    <t>입금 계좌 정보</t>
  </si>
  <si>
    <t>문서번호</t>
  </si>
  <si>
    <t>은행명</t>
  </si>
  <si>
    <t>청구일</t>
  </si>
  <si>
    <t>계좌번호</t>
  </si>
  <si>
    <t>납부기한</t>
  </si>
  <si>
    <t>예금주</t>
  </si>
  <si>
    <t>품목</t>
  </si>
  <si>
    <t>단가</t>
  </si>
  <si>
    <t>수량</t>
  </si>
  <si>
    <t>공급가액</t>
  </si>
  <si>
    <t>세액</t>
  </si>
  <si>
    <t>합계</t>
  </si>
  <si>
    <t>총 공급가액</t>
  </si>
  <si>
    <t>총 세액</t>
  </si>
  <si>
    <t>총 합계</t>
  </si>
  <si>
    <t>비고</t>
  </si>
  <si>
    <t>비고를 입력해주세요.</t>
  </si>
  <si>
    <t>DON JUAN URQUIJO 20° ANIVERSARIO - ROBUSTO</t>
    <phoneticPr fontId="15" type="noConversion"/>
  </si>
  <si>
    <t>DON JUAN URQUIJO 20° ANIVERSARIO - CORONAS</t>
    <phoneticPr fontId="15" type="noConversion"/>
  </si>
  <si>
    <t>㈜ 데일리시가</t>
    <phoneticPr fontId="15" type="noConversion"/>
  </si>
  <si>
    <t>140-015-512046</t>
    <phoneticPr fontId="15" type="noConversion"/>
  </si>
  <si>
    <t>신한은행</t>
    <phoneticPr fontId="15" type="noConversion"/>
  </si>
  <si>
    <t>㈜데일리시가</t>
    <phoneticPr fontId="15" type="noConversion"/>
  </si>
  <si>
    <t>Flor Fina – Cigarillo (Puritos)</t>
    <phoneticPr fontId="15" type="noConversion"/>
  </si>
  <si>
    <t>Flor Fina – Cigarillo (Chocolate)</t>
    <phoneticPr fontId="15" type="noConversion"/>
  </si>
  <si>
    <t>Flor Fina – Cigarillo (Caramel)</t>
    <phoneticPr fontId="15" type="noConversion"/>
  </si>
  <si>
    <t>Flor Fina – Cigarillo (Café Crème)</t>
    <phoneticPr fontId="15" type="noConversion"/>
  </si>
  <si>
    <t>Flor Fina – Cigarillo (Vanilla)</t>
    <phoneticPr fontId="15" type="noConversion"/>
  </si>
  <si>
    <t>TABACALERA - HALF CORONAS</t>
    <phoneticPr fontId="15" type="noConversion"/>
  </si>
  <si>
    <t>TABACALERA - ROBUSTO</t>
    <phoneticPr fontId="15" type="noConversion"/>
  </si>
  <si>
    <t>ALHAMBRA - CORONAS</t>
    <phoneticPr fontId="15" type="noConversion"/>
  </si>
  <si>
    <t>ALHAMBRA - ROBUSTO</t>
    <phoneticPr fontId="15" type="noConversion"/>
  </si>
  <si>
    <t>DON JUAN URQUIJO 20° ANIVERSARIO - TORO</t>
    <phoneticPr fontId="15" type="noConversion"/>
  </si>
  <si>
    <t>DON JUAN URQUIJO VINTAGE BLEND – CORONAS</t>
    <phoneticPr fontId="15" type="noConversion"/>
  </si>
  <si>
    <t>TABACALERA EDICION MADURO – CORONAS</t>
    <phoneticPr fontId="15" type="noConversion"/>
  </si>
  <si>
    <t>TABACALERA EDICION MADURO – ROBUSTO</t>
    <phoneticPr fontId="15" type="noConversion"/>
  </si>
  <si>
    <t>1881 - CORONAS</t>
    <phoneticPr fontId="15" type="noConversion"/>
  </si>
  <si>
    <t>1881 PERIQUE MADURO - SHORT ROBUSTO</t>
    <phoneticPr fontId="15" type="noConversion"/>
  </si>
  <si>
    <t>1881 PERIQUE BOLD MADURO - SHORT ROBUSTO</t>
    <phoneticPr fontId="15" type="noConversion"/>
  </si>
  <si>
    <t>TABACALERA GRAN RESERVA - ROBUSTO</t>
    <phoneticPr fontId="15" type="noConversion"/>
  </si>
  <si>
    <t>퍼프시가바</t>
    <phoneticPr fontId="15" type="noConversion"/>
  </si>
  <si>
    <t>분당구 운중동 1032-2, 1층</t>
    <phoneticPr fontId="15" type="noConversion"/>
  </si>
  <si>
    <t>퍼프시가바 대표님</t>
    <phoneticPr fontId="15" type="noConversion"/>
  </si>
  <si>
    <t>010-9770-9311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</si>
</sst>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 x14ac:knownFonts="1">
    <font>
      <sz val="11"/>
      <color theme="1"/>
      <name val="Calibri"/>
      <family val="2"/>
      <charset val="1"/>
    </font>
    <font>
      <b/>
      <sz val="20"/>
      <color rgb="FF1A3A5C"/>
      <name val="Noto Sans CJK SC"/>
      <family val="2"/>
      <charset val="1"/>
    </font>
    <font>
      <b/>
      <sz val="12"/>
      <color rgb="FF1A3A5C"/>
      <name val="Noto Sans CJK SC"/>
      <family val="2"/>
      <charset val="1"/>
    </font>
    <font>
      <sz val="8"/>
      <color rgb="FF888888"/>
      <name val="맑은 고딕"/>
      <family val="3"/>
      <charset val="129"/>
    </font>
    <font>
      <sz val="9"/>
      <color rgb="FF555555"/>
      <name val="Noto Sans CJK SC"/>
      <family val="2"/>
      <charset val="1"/>
    </font>
    <font>
      <sz val="9"/>
      <color rgb="FF555555"/>
      <name val="맑은 고딕"/>
      <family val="3"/>
      <charset val="129"/>
    </font>
    <font>
      <sz val="9"/>
      <color rgb="FF2E75B6"/>
      <name val="맑은 고딕"/>
      <family val="3"/>
      <charset val="129"/>
    </font>
    <font>
      <b/>
      <sz val="9"/>
      <color rgb="FF555555"/>
      <name val="Noto Sans CJK SC"/>
      <family val="2"/>
      <charset val="1"/>
    </font>
    <font>
      <sz val="9"/>
      <color rgb="FF1A1A1A"/>
      <name val="맑은 고딕"/>
      <family val="3"/>
      <charset val="129"/>
    </font>
    <font>
      <sz val="9"/>
      <color rgb="FF1A1A1A"/>
      <name val="Noto Sans CJK SC"/>
      <family val="2"/>
      <charset val="1"/>
    </font>
    <font>
      <b/>
      <sz val="9"/>
      <color rgb="FFFFFFFF"/>
      <name val="Noto Sans CJK SC"/>
      <family val="2"/>
      <charset val="1"/>
    </font>
    <font>
      <b/>
      <sz val="9"/>
      <color rgb="FF1A3A5C"/>
      <name val="Noto Sans CJK SC"/>
      <family val="2"/>
      <charset val="1"/>
    </font>
    <font>
      <b/>
      <sz val="10"/>
      <color rgb="FF1A3A5C"/>
      <name val="맑은 고딕"/>
      <family val="3"/>
      <charset val="129"/>
    </font>
    <font>
      <sz val="9"/>
      <color rgb="FF888888"/>
      <name val="Noto Sans CJK SC"/>
      <family val="2"/>
      <charset val="1"/>
    </font>
    <font>
      <b/>
      <sz val="13"/>
      <color rgb="FF1A3A5C"/>
      <name val="Noto Sans CJK SC"/>
      <family val="2"/>
      <charset val="1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12"/>
      <color rgb="FF1A3A5C"/>
      <name val="맑은 고딕"/>
      <family val="3"/>
      <charset val="129"/>
    </font>
    <font>
      <sz val="9"/>
      <color rgb="FF1A1A1A"/>
      <name val="Noto Sans CJK SC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A3A5C"/>
        <bgColor rgb="FF333399"/>
      </patternFill>
    </fill>
    <fill>
      <patternFill patternType="solid">
        <fgColor rgb="FFF7F9FC"/>
        <bgColor rgb="FFFFFFFF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7F9FC"/>
      </patternFill>
    </fill>
  </fills>
  <borders count="23">
    <border>
      <left/>
      <right/>
      <top/>
      <bottom/>
      <diagonal/>
    </border>
    <border>
      <left/>
      <right/>
      <top/>
      <bottom style="medium">
        <color rgb="FF1A3A5C"/>
      </bottom>
      <diagonal/>
    </border>
    <border>
      <left/>
      <right/>
      <top/>
      <bottom style="thin">
        <color rgb="FF2E75B6"/>
      </bottom>
      <diagonal/>
    </border>
    <border>
      <left style="thin">
        <color rgb="FF2E75B6"/>
      </left>
      <right style="thin">
        <color rgb="FF2E75B6"/>
      </right>
      <top style="medium">
        <color rgb="FF1A3A5C"/>
      </top>
      <bottom style="medium">
        <color rgb="FF1A3A5C"/>
      </bottom>
      <diagonal/>
    </border>
    <border>
      <left style="thin">
        <color rgb="FF2E75B6"/>
      </left>
      <right style="medium">
        <color rgb="FF1A3A5C"/>
      </right>
      <top style="medium">
        <color rgb="FF1A3A5C"/>
      </top>
      <bottom style="medium">
        <color rgb="FF1A3A5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medium">
        <color rgb="FF1A3A5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medium">
        <color rgb="FF1A3A5C"/>
      </bottom>
      <diagonal/>
    </border>
    <border>
      <left style="thin">
        <color rgb="FFCCCCCC"/>
      </left>
      <right style="medium">
        <color rgb="FF1A3A5C"/>
      </right>
      <top/>
      <bottom style="medium">
        <color rgb="FF1A3A5C"/>
      </bottom>
      <diagonal/>
    </border>
    <border>
      <left/>
      <right/>
      <top/>
      <bottom style="thin">
        <color rgb="FF1A3A5C"/>
      </bottom>
      <diagonal/>
    </border>
    <border>
      <left/>
      <right/>
      <top/>
      <bottom style="thin">
        <color rgb="FFCCCCCC"/>
      </bottom>
      <diagonal/>
    </border>
    <border>
      <left style="medium">
        <color rgb="FF1A3A5C"/>
      </left>
      <right/>
      <top style="medium">
        <color rgb="FF1A3A5C"/>
      </top>
      <bottom style="medium">
        <color rgb="FF1A3A5C"/>
      </bottom>
      <diagonal/>
    </border>
    <border>
      <left/>
      <right/>
      <top style="medium">
        <color rgb="FF1A3A5C"/>
      </top>
      <bottom style="medium">
        <color rgb="FF1A3A5C"/>
      </bottom>
      <diagonal/>
    </border>
    <border>
      <left/>
      <right style="thin">
        <color rgb="FF2E75B6"/>
      </right>
      <top style="medium">
        <color rgb="FF1A3A5C"/>
      </top>
      <bottom style="medium">
        <color rgb="FF1A3A5C"/>
      </bottom>
      <diagonal/>
    </border>
    <border>
      <left style="medium">
        <color rgb="FF1A3A5C"/>
      </left>
      <right/>
      <top style="medium">
        <color rgb="FF1A3A5C"/>
      </top>
      <bottom style="thin">
        <color rgb="FFCCCCCC"/>
      </bottom>
      <diagonal/>
    </border>
    <border>
      <left/>
      <right/>
      <top style="medium">
        <color rgb="FF1A3A5C"/>
      </top>
      <bottom style="thin">
        <color rgb="FFCCCCCC"/>
      </bottom>
      <diagonal/>
    </border>
    <border>
      <left/>
      <right style="thin">
        <color rgb="FFCCCCCC"/>
      </right>
      <top style="medium">
        <color rgb="FF1A3A5C"/>
      </top>
      <bottom style="thin">
        <color rgb="FFCCCCCC"/>
      </bottom>
      <diagonal/>
    </border>
    <border>
      <left style="medium">
        <color rgb="FF1A3A5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1A3A5C"/>
      </left>
      <right/>
      <top style="thin">
        <color rgb="FFCCCCCC"/>
      </top>
      <bottom style="medium">
        <color rgb="FF1A3A5C"/>
      </bottom>
      <diagonal/>
    </border>
    <border>
      <left/>
      <right/>
      <top style="thin">
        <color rgb="FFCCCCCC"/>
      </top>
      <bottom style="medium">
        <color rgb="FF1A3A5C"/>
      </bottom>
      <diagonal/>
    </border>
    <border>
      <left/>
      <right style="thin">
        <color rgb="FFCCCCCC"/>
      </right>
      <top style="thin">
        <color rgb="FFCCCCCC"/>
      </top>
      <bottom style="medium">
        <color rgb="FF1A3A5C"/>
      </bottom>
      <diagonal/>
    </border>
  </borders>
  <cellStyleXfs count="3">
    <xf numFmtId="0" fontId="0" fillId="0" borderId="0"/>
    <xf numFmtId="0" fontId="16" fillId="0" borderId="0"/>
    <xf numFmtId="41" fontId="16" fillId="0" borderId="0" applyFont="0" applyFill="0" applyBorder="0" applyAlignment="0" applyProtection="0">
      <alignment vertical="center"/>
    </xf>
  </cellStyleXfs>
  <cellXfs count="49">
    <xf numFmtId="0" fontId="0" fillId="0" borderId="0" xfId="0"/>
    <xf numFmtId="0" fontId="0" fillId="0" borderId="1" xfId="0" applyBorder="1"/>
    <xf numFmtId="0" fontId="7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3" fontId="8" fillId="3" borderId="5" xfId="0" applyNumberFormat="1" applyFont="1" applyFill="1" applyBorder="1" applyAlignment="1">
      <alignment horizontal="right" vertical="center"/>
    </xf>
    <xf numFmtId="3" fontId="8" fillId="3" borderId="6" xfId="0" applyNumberFormat="1" applyFont="1" applyFill="1" applyBorder="1" applyAlignment="1">
      <alignment horizontal="right" vertical="center"/>
    </xf>
    <xf numFmtId="3" fontId="8" fillId="4" borderId="5" xfId="0" applyNumberFormat="1" applyFont="1" applyFill="1" applyBorder="1" applyAlignment="1">
      <alignment horizontal="right" vertical="center"/>
    </xf>
    <xf numFmtId="3" fontId="8" fillId="4" borderId="6" xfId="0" applyNumberFormat="1" applyFont="1" applyFill="1" applyBorder="1" applyAlignment="1">
      <alignment horizontal="right" vertical="center"/>
    </xf>
    <xf numFmtId="3" fontId="8" fillId="4" borderId="7" xfId="0" applyNumberFormat="1" applyFont="1" applyFill="1" applyBorder="1" applyAlignment="1">
      <alignment horizontal="right" vertical="center"/>
    </xf>
    <xf numFmtId="3" fontId="8" fillId="4" borderId="8" xfId="0" applyNumberFormat="1" applyFont="1" applyFill="1" applyBorder="1" applyAlignment="1">
      <alignment horizontal="right" vertical="center"/>
    </xf>
    <xf numFmtId="0" fontId="4" fillId="0" borderId="9" xfId="0" applyFont="1" applyBorder="1" applyAlignment="1">
      <alignment horizontal="right" vertical="center"/>
    </xf>
    <xf numFmtId="0" fontId="11" fillId="0" borderId="1" xfId="0" applyFont="1" applyBorder="1" applyAlignment="1">
      <alignment horizontal="right" vertical="center"/>
    </xf>
    <xf numFmtId="0" fontId="8" fillId="4" borderId="17" xfId="0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8" fillId="5" borderId="17" xfId="0" applyFont="1" applyFill="1" applyBorder="1" applyAlignment="1">
      <alignment horizontal="center" vertical="center"/>
    </xf>
    <xf numFmtId="0" fontId="8" fillId="5" borderId="18" xfId="0" applyFont="1" applyFill="1" applyBorder="1" applyAlignment="1">
      <alignment horizontal="center" vertical="center"/>
    </xf>
    <xf numFmtId="0" fontId="8" fillId="5" borderId="19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3" fontId="8" fillId="0" borderId="9" xfId="0" applyNumberFormat="1" applyFont="1" applyBorder="1" applyAlignment="1">
      <alignment horizontal="right" vertical="center"/>
    </xf>
    <xf numFmtId="3" fontId="12" fillId="0" borderId="1" xfId="0" applyNumberFormat="1" applyFont="1" applyBorder="1" applyAlignment="1">
      <alignment horizontal="right" vertical="center"/>
    </xf>
    <xf numFmtId="0" fontId="7" fillId="0" borderId="2" xfId="0" applyFont="1" applyBorder="1" applyAlignment="1">
      <alignment horizontal="left" vertical="center"/>
    </xf>
    <xf numFmtId="0" fontId="13" fillId="0" borderId="10" xfId="0" applyFont="1" applyBorder="1" applyAlignment="1">
      <alignment horizontal="left" vertical="top" wrapText="1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7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18" fillId="0" borderId="0" xfId="0" applyFont="1" applyAlignment="1">
      <alignment horizontal="right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14" fontId="8" fillId="0" borderId="0" xfId="0" applyNumberFormat="1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</cellXfs>
  <cellStyles count="3">
    <cellStyle name="쉼표 [0] 5" xfId="2" xr:uid="{54F5959A-1BC7-477F-B06C-5ED9B248EFED}"/>
    <cellStyle name="표준" xfId="0" builtinId="0"/>
    <cellStyle name="표준 6" xfId="1" xr:uid="{B24C1A44-84AD-47E6-9CBA-2AB14EC917DA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7F9F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1A3A5C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7F9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 /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281940</xdr:colOff>
      <xdr:row>45</xdr:row>
      <xdr:rowOff>30480</xdr:rowOff>
    </xdr:from>
    <xdr:to>
      <xdr:col>7</xdr:col>
      <xdr:colOff>106680</xdr:colOff>
      <xdr:row>46</xdr:row>
      <xdr:rowOff>601980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3B03A41-DC9F-5004-2F93-3CF67169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49040" y="6454140"/>
          <a:ext cx="693420" cy="69342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</xdr:row>
      <xdr:rowOff>312420</xdr:rowOff>
    </xdr:from>
    <xdr:to>
      <xdr:col>1</xdr:col>
      <xdr:colOff>967740</xdr:colOff>
      <xdr:row>6</xdr:row>
      <xdr:rowOff>121920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CA391ECD-E9EE-187F-A610-78F45EDD7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88620"/>
          <a:ext cx="998220" cy="998220"/>
        </a:xfrm>
        <a:prstGeom prst="rect">
          <a:avLst/>
        </a:prstGeom>
      </xdr:spPr>
    </xdr:pic>
    <xdr:clientData/>
  </xdr:twoCellAnchor>
  <xdr:oneCellAnchor>
    <xdr:from>
      <xdr:col>1</xdr:col>
      <xdr:colOff>830580</xdr:colOff>
      <xdr:row>2</xdr:row>
      <xdr:rowOff>7620</xdr:rowOff>
    </xdr:from>
    <xdr:ext cx="1118896" cy="33624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D5450E4-377C-3449-53FD-40309228B309}"/>
            </a:ext>
          </a:extLst>
        </xdr:cNvPr>
        <xdr:cNvSpPr txBox="1"/>
      </xdr:nvSpPr>
      <xdr:spPr>
        <a:xfrm>
          <a:off x="937260" y="541020"/>
          <a:ext cx="1118896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 b="1"/>
            <a:t>(</a:t>
          </a:r>
          <a:r>
            <a:rPr lang="ko-KR" altLang="en-US" sz="1100" b="1"/>
            <a:t>주</a:t>
          </a:r>
          <a:r>
            <a:rPr lang="en-US" altLang="ko-KR" sz="1100" b="1"/>
            <a:t>)</a:t>
          </a:r>
          <a:r>
            <a:rPr lang="ko-KR" altLang="en-US" sz="1100" b="1"/>
            <a:t>데일리시가</a:t>
          </a:r>
        </a:p>
      </xdr:txBody>
    </xdr:sp>
    <xdr:clientData/>
  </xdr:oneCellAnchor>
  <xdr:oneCellAnchor>
    <xdr:from>
      <xdr:col>1</xdr:col>
      <xdr:colOff>845820</xdr:colOff>
      <xdr:row>3</xdr:row>
      <xdr:rowOff>15240</xdr:rowOff>
    </xdr:from>
    <xdr:ext cx="2061013" cy="49141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DCBE362-7ABD-4D84-8D7C-2925B38D5B8E}"/>
            </a:ext>
          </a:extLst>
        </xdr:cNvPr>
        <xdr:cNvSpPr txBox="1"/>
      </xdr:nvSpPr>
      <xdr:spPr>
        <a:xfrm>
          <a:off x="952500" y="777240"/>
          <a:ext cx="2061013" cy="4914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900" b="0">
              <a:solidFill>
                <a:schemeClr val="bg1">
                  <a:lumMod val="50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경기도 수원시 영통구 덕영대로</a:t>
          </a:r>
          <a:r>
            <a:rPr lang="en-US" altLang="ko-KR" sz="900" b="0">
              <a:solidFill>
                <a:schemeClr val="bg1">
                  <a:lumMod val="50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1470</a:t>
          </a:r>
        </a:p>
        <a:p>
          <a:r>
            <a:rPr lang="en-US" altLang="ko-KR" sz="900" b="0">
              <a:solidFill>
                <a:schemeClr val="bg1">
                  <a:lumMod val="50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031-8043-8880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48"/>
  <sheetViews>
    <sheetView showGridLines="0" tabSelected="1" topLeftCell="B2" zoomScaleNormal="100" workbookViewId="0">
      <selection activeCell="C12" sqref="C12:D12"/>
    </sheetView>
  </sheetViews>
  <sheetFormatPr defaultColWidth="8.609375" defaultRowHeight="15" x14ac:dyDescent="0.2"/>
  <cols>
    <col min="1" max="1" width="1.61328125" customWidth="1"/>
    <col min="2" max="2" width="16.94921875" customWidth="1"/>
    <col min="3" max="3" width="13.98828125" customWidth="1"/>
    <col min="4" max="4" width="7.93359375" customWidth="1"/>
    <col min="5" max="5" width="10.0859375" bestFit="1" customWidth="1"/>
    <col min="6" max="6" width="7.93359375" bestFit="1" customWidth="1"/>
    <col min="7" max="7" width="4.70703125" bestFit="1" customWidth="1"/>
    <col min="8" max="8" width="9.28125" customWidth="1"/>
    <col min="9" max="9" width="9.01171875" customWidth="1"/>
    <col min="10" max="10" width="11.1640625" customWidth="1"/>
    <col min="11" max="11" width="1.61328125" customWidth="1"/>
  </cols>
  <sheetData>
    <row r="1" spans="2:10" ht="6" customHeight="1" x14ac:dyDescent="0.2"/>
    <row r="2" spans="2:10" ht="36" customHeight="1" x14ac:dyDescent="0.2">
      <c r="B2" s="29" t="s">
        <v>0</v>
      </c>
      <c r="C2" s="29"/>
      <c r="D2" s="29"/>
      <c r="I2" s="30" t="s">
        <v>43</v>
      </c>
      <c r="J2" s="31"/>
    </row>
    <row r="3" spans="2:10" ht="18" customHeight="1" x14ac:dyDescent="0.2">
      <c r="B3" s="32"/>
      <c r="C3" s="32"/>
      <c r="D3" s="32"/>
      <c r="H3" s="25" t="s">
        <v>44</v>
      </c>
      <c r="I3" s="25"/>
      <c r="J3" s="25"/>
    </row>
    <row r="4" spans="2:10" ht="13.5" customHeight="1" x14ac:dyDescent="0.2">
      <c r="I4" s="25" t="s">
        <v>45</v>
      </c>
      <c r="J4" s="25"/>
    </row>
    <row r="5" spans="2:10" ht="13.5" customHeight="1" x14ac:dyDescent="0.2">
      <c r="I5" s="25" t="s">
        <v>46</v>
      </c>
      <c r="J5" s="25"/>
    </row>
    <row r="6" spans="2:10" ht="13.5" customHeight="1" x14ac:dyDescent="0.2">
      <c r="I6" s="26"/>
      <c r="J6" s="26"/>
    </row>
    <row r="7" spans="2:10" ht="13.5" customHeight="1" x14ac:dyDescent="0.2">
      <c r="B7" s="1"/>
      <c r="C7" s="1"/>
      <c r="D7" s="1"/>
      <c r="E7" s="1"/>
      <c r="F7" s="1"/>
      <c r="G7" s="1"/>
      <c r="H7" s="1"/>
      <c r="I7" s="1"/>
      <c r="J7" s="1"/>
    </row>
    <row r="8" spans="2:10" ht="9.75" customHeight="1" x14ac:dyDescent="0.2"/>
    <row r="9" spans="2:10" ht="4.5" customHeight="1" x14ac:dyDescent="0.2"/>
    <row r="10" spans="2:10" ht="18" customHeight="1" x14ac:dyDescent="0.2">
      <c r="B10" s="23" t="s">
        <v>1</v>
      </c>
      <c r="C10" s="23"/>
      <c r="D10" s="23"/>
      <c r="E10" s="27" t="s">
        <v>2</v>
      </c>
      <c r="F10" s="27"/>
      <c r="G10" s="27"/>
      <c r="H10" s="27"/>
      <c r="I10" s="27"/>
      <c r="J10" s="27"/>
    </row>
    <row r="11" spans="2:10" ht="4.5" customHeight="1" x14ac:dyDescent="0.2"/>
    <row r="12" spans="2:10" ht="18" customHeight="1" x14ac:dyDescent="0.2">
      <c r="B12" s="2" t="s">
        <v>3</v>
      </c>
      <c r="C12" s="28">
        <v>20260314001</v>
      </c>
      <c r="D12" s="28"/>
      <c r="E12" s="2"/>
      <c r="F12" s="2" t="s">
        <v>4</v>
      </c>
      <c r="G12" s="2"/>
      <c r="H12" s="39" t="s">
        <v>24</v>
      </c>
      <c r="I12" s="39"/>
      <c r="J12" s="39"/>
    </row>
    <row r="13" spans="2:10" ht="18" customHeight="1" x14ac:dyDescent="0.2">
      <c r="B13" s="2" t="s">
        <v>5</v>
      </c>
      <c r="C13" s="47">
        <v>46095</v>
      </c>
      <c r="D13" s="28"/>
      <c r="E13" s="2"/>
      <c r="F13" s="2" t="s">
        <v>6</v>
      </c>
      <c r="G13" s="2"/>
      <c r="H13" s="39" t="s">
        <v>23</v>
      </c>
      <c r="I13" s="39"/>
      <c r="J13" s="39"/>
    </row>
    <row r="14" spans="2:10" ht="18" customHeight="1" x14ac:dyDescent="0.2">
      <c r="B14" s="2" t="s">
        <v>7</v>
      </c>
      <c r="C14" s="47">
        <v>46098</v>
      </c>
      <c r="D14" s="28"/>
      <c r="E14" s="2"/>
      <c r="F14" s="2" t="s">
        <v>8</v>
      </c>
      <c r="G14" s="2"/>
      <c r="H14" s="39" t="s">
        <v>25</v>
      </c>
      <c r="I14" s="40"/>
      <c r="J14" s="40"/>
    </row>
    <row r="15" spans="2:10" ht="18" customHeight="1" thickBot="1" x14ac:dyDescent="0.25">
      <c r="B15" s="3"/>
      <c r="C15" s="48"/>
      <c r="D15" s="48"/>
      <c r="E15" s="1"/>
      <c r="F15" s="1"/>
      <c r="G15" s="1"/>
      <c r="H15" s="1"/>
      <c r="I15" s="1"/>
      <c r="J15" s="1"/>
    </row>
    <row r="16" spans="2:10" ht="18" customHeight="1" thickBot="1" x14ac:dyDescent="0.25"/>
    <row r="17" spans="2:10" ht="18" customHeight="1" thickBot="1" x14ac:dyDescent="0.25">
      <c r="B17" s="41" t="s">
        <v>9</v>
      </c>
      <c r="C17" s="42"/>
      <c r="D17" s="42"/>
      <c r="E17" s="43"/>
      <c r="F17" s="4" t="s">
        <v>10</v>
      </c>
      <c r="G17" s="4" t="s">
        <v>11</v>
      </c>
      <c r="H17" s="4" t="s">
        <v>12</v>
      </c>
      <c r="I17" s="4" t="s">
        <v>13</v>
      </c>
      <c r="J17" s="5" t="s">
        <v>14</v>
      </c>
    </row>
    <row r="18" spans="2:10" ht="18" customHeight="1" x14ac:dyDescent="0.2">
      <c r="B18" s="44" t="s">
        <v>26</v>
      </c>
      <c r="C18" s="45"/>
      <c r="D18" s="45"/>
      <c r="E18" s="46"/>
      <c r="F18" s="6">
        <v>23000</v>
      </c>
      <c r="G18" s="6">
        <v>2</v>
      </c>
      <c r="H18" s="6">
        <f t="shared" ref="H18:H19" si="0">IF(AND(F18=0,G18=0),0,F18*G18)</f>
        <v>46000</v>
      </c>
      <c r="I18" s="6">
        <f>ROUND(H18*0.1,0)</f>
        <v>4600</v>
      </c>
      <c r="J18" s="7">
        <f>H18+I18</f>
        <v>50600</v>
      </c>
    </row>
    <row r="19" spans="2:10" ht="18" customHeight="1" x14ac:dyDescent="0.2">
      <c r="B19" s="14" t="s">
        <v>27</v>
      </c>
      <c r="C19" s="15"/>
      <c r="D19" s="15"/>
      <c r="E19" s="16"/>
      <c r="F19" s="8">
        <v>23000</v>
      </c>
      <c r="G19" s="8">
        <v>2</v>
      </c>
      <c r="H19" s="8">
        <f t="shared" si="0"/>
        <v>46000</v>
      </c>
      <c r="I19" s="8">
        <f>ROUND(H19*0.1,0)</f>
        <v>4600</v>
      </c>
      <c r="J19" s="9">
        <f>H19+I19</f>
        <v>50600</v>
      </c>
    </row>
    <row r="20" spans="2:10" ht="18" customHeight="1" x14ac:dyDescent="0.2">
      <c r="B20" s="17" t="s">
        <v>28</v>
      </c>
      <c r="C20" s="18"/>
      <c r="D20" s="18"/>
      <c r="E20" s="19"/>
      <c r="F20" s="6">
        <v>23000</v>
      </c>
      <c r="G20" s="6">
        <v>2</v>
      </c>
      <c r="H20" s="6">
        <f t="shared" ref="H20:H21" si="1">IF(AND(F20=0,G20=0),0,F20*G20)</f>
        <v>46000</v>
      </c>
      <c r="I20" s="6">
        <f>ROUND(H20*0.1,0)</f>
        <v>4600</v>
      </c>
      <c r="J20" s="7">
        <f>H20+I20</f>
        <v>50600</v>
      </c>
    </row>
    <row r="21" spans="2:10" ht="18" customHeight="1" x14ac:dyDescent="0.2">
      <c r="B21" s="14" t="s">
        <v>29</v>
      </c>
      <c r="C21" s="15"/>
      <c r="D21" s="15"/>
      <c r="E21" s="16"/>
      <c r="F21" s="8">
        <v>23000</v>
      </c>
      <c r="G21" s="8">
        <v>2</v>
      </c>
      <c r="H21" s="8">
        <f t="shared" si="1"/>
        <v>46000</v>
      </c>
      <c r="I21" s="8">
        <f>ROUND(H21*0.1,0)</f>
        <v>4600</v>
      </c>
      <c r="J21" s="9">
        <f>H21+I21</f>
        <v>50600</v>
      </c>
    </row>
    <row r="22" spans="2:10" ht="18" customHeight="1" x14ac:dyDescent="0.2">
      <c r="B22" s="17" t="s">
        <v>30</v>
      </c>
      <c r="C22" s="18"/>
      <c r="D22" s="18"/>
      <c r="E22" s="19"/>
      <c r="F22" s="6">
        <v>23000</v>
      </c>
      <c r="G22" s="6">
        <v>2</v>
      </c>
      <c r="H22" s="6">
        <f t="shared" ref="H22:H37" si="2">IF(AND(F22=0,G22=0),0,F22*G22)</f>
        <v>46000</v>
      </c>
      <c r="I22" s="6">
        <f>ROUND(H22*0.1,0)</f>
        <v>4600</v>
      </c>
      <c r="J22" s="7">
        <f>H22+I22</f>
        <v>50600</v>
      </c>
    </row>
    <row r="23" spans="2:10" ht="18" customHeight="1" x14ac:dyDescent="0.2">
      <c r="B23" s="14" t="s">
        <v>31</v>
      </c>
      <c r="C23" s="15"/>
      <c r="D23" s="15"/>
      <c r="E23" s="16"/>
      <c r="F23" s="8">
        <v>9000</v>
      </c>
      <c r="G23" s="8">
        <v>5</v>
      </c>
      <c r="H23" s="8">
        <f t="shared" si="2"/>
        <v>45000</v>
      </c>
      <c r="I23" s="8">
        <f>ROUND(H23*0.1,0)</f>
        <v>4500</v>
      </c>
      <c r="J23" s="9">
        <f>H23+I23</f>
        <v>49500</v>
      </c>
    </row>
    <row r="24" spans="2:10" ht="18" customHeight="1" x14ac:dyDescent="0.2">
      <c r="B24" s="17" t="s">
        <v>32</v>
      </c>
      <c r="C24" s="18"/>
      <c r="D24" s="18"/>
      <c r="E24" s="19"/>
      <c r="F24" s="6">
        <v>13000</v>
      </c>
      <c r="G24" s="6">
        <v>5</v>
      </c>
      <c r="H24" s="6">
        <f t="shared" si="2"/>
        <v>65000</v>
      </c>
      <c r="I24" s="6">
        <f>ROUND(H24*0.1,0)</f>
        <v>6500</v>
      </c>
      <c r="J24" s="7">
        <f>H24+I24</f>
        <v>71500</v>
      </c>
    </row>
    <row r="25" spans="2:10" ht="18" customHeight="1" x14ac:dyDescent="0.2">
      <c r="B25" s="14" t="s">
        <v>33</v>
      </c>
      <c r="C25" s="15"/>
      <c r="D25" s="15"/>
      <c r="E25" s="16"/>
      <c r="F25" s="8">
        <v>14000</v>
      </c>
      <c r="G25" s="8">
        <v>5</v>
      </c>
      <c r="H25" s="8">
        <f t="shared" si="2"/>
        <v>70000</v>
      </c>
      <c r="I25" s="8">
        <f>ROUND(H25*0.1,0)</f>
        <v>7000</v>
      </c>
      <c r="J25" s="9">
        <f>H25+I25</f>
        <v>77000</v>
      </c>
    </row>
    <row r="26" spans="2:10" ht="18" customHeight="1" x14ac:dyDescent="0.2">
      <c r="B26" s="17" t="s">
        <v>34</v>
      </c>
      <c r="C26" s="18"/>
      <c r="D26" s="18"/>
      <c r="E26" s="19"/>
      <c r="F26" s="6">
        <v>15000</v>
      </c>
      <c r="G26" s="6">
        <v>5</v>
      </c>
      <c r="H26" s="6">
        <f t="shared" si="2"/>
        <v>75000</v>
      </c>
      <c r="I26" s="6">
        <f>ROUND(H26*0.1,0)</f>
        <v>7500</v>
      </c>
      <c r="J26" s="7">
        <f>H26+I26</f>
        <v>82500</v>
      </c>
    </row>
    <row r="27" spans="2:10" ht="18" customHeight="1" x14ac:dyDescent="0.2">
      <c r="B27" s="14" t="s">
        <v>21</v>
      </c>
      <c r="C27" s="15"/>
      <c r="D27" s="15"/>
      <c r="E27" s="16"/>
      <c r="F27" s="8">
        <v>16000</v>
      </c>
      <c r="G27" s="8">
        <v>5</v>
      </c>
      <c r="H27" s="8">
        <f t="shared" si="2"/>
        <v>80000</v>
      </c>
      <c r="I27" s="8">
        <f>ROUND(H27*0.1,0)</f>
        <v>8000</v>
      </c>
      <c r="J27" s="9">
        <f>H27+I27</f>
        <v>88000</v>
      </c>
    </row>
    <row r="28" spans="2:10" ht="18" customHeight="1" x14ac:dyDescent="0.2">
      <c r="B28" s="17" t="s">
        <v>20</v>
      </c>
      <c r="C28" s="18"/>
      <c r="D28" s="18"/>
      <c r="E28" s="19"/>
      <c r="F28" s="6">
        <v>21000</v>
      </c>
      <c r="G28" s="6">
        <v>5</v>
      </c>
      <c r="H28" s="6">
        <f t="shared" si="2"/>
        <v>105000</v>
      </c>
      <c r="I28" s="6">
        <f>ROUND(H28*0.1,0)</f>
        <v>10500</v>
      </c>
      <c r="J28" s="7">
        <f>H28+I28</f>
        <v>115500</v>
      </c>
    </row>
    <row r="29" spans="2:10" ht="18" customHeight="1" x14ac:dyDescent="0.2">
      <c r="B29" s="14" t="s">
        <v>35</v>
      </c>
      <c r="C29" s="15"/>
      <c r="D29" s="15"/>
      <c r="E29" s="16"/>
      <c r="F29" s="8">
        <v>29000</v>
      </c>
      <c r="G29" s="8">
        <v>5</v>
      </c>
      <c r="H29" s="8">
        <f t="shared" si="2"/>
        <v>145000</v>
      </c>
      <c r="I29" s="8">
        <f>ROUND(H29*0.1,0)</f>
        <v>14500</v>
      </c>
      <c r="J29" s="9">
        <f>H29+I29</f>
        <v>159500</v>
      </c>
    </row>
    <row r="30" spans="2:10" ht="18" customHeight="1" x14ac:dyDescent="0.2">
      <c r="B30" s="17" t="s">
        <v>36</v>
      </c>
      <c r="C30" s="18"/>
      <c r="D30" s="18"/>
      <c r="E30" s="19"/>
      <c r="F30" s="6">
        <v>19000</v>
      </c>
      <c r="G30" s="6">
        <v>5</v>
      </c>
      <c r="H30" s="6">
        <f t="shared" si="2"/>
        <v>95000</v>
      </c>
      <c r="I30" s="6">
        <f>ROUND(H30*0.1,0)</f>
        <v>9500</v>
      </c>
      <c r="J30" s="7">
        <f>H30+I30</f>
        <v>104500</v>
      </c>
    </row>
    <row r="31" spans="2:10" ht="18" customHeight="1" x14ac:dyDescent="0.2">
      <c r="B31" s="14" t="s">
        <v>37</v>
      </c>
      <c r="C31" s="15"/>
      <c r="D31" s="15"/>
      <c r="E31" s="16"/>
      <c r="F31" s="8">
        <v>26000</v>
      </c>
      <c r="G31" s="8">
        <v>5</v>
      </c>
      <c r="H31" s="8">
        <f t="shared" si="2"/>
        <v>130000</v>
      </c>
      <c r="I31" s="8">
        <f>ROUND(H31*0.1,0)</f>
        <v>13000</v>
      </c>
      <c r="J31" s="9">
        <f>H31+I31</f>
        <v>143000</v>
      </c>
    </row>
    <row r="32" spans="2:10" ht="18" customHeight="1" x14ac:dyDescent="0.2">
      <c r="B32" s="17" t="s">
        <v>38</v>
      </c>
      <c r="C32" s="18"/>
      <c r="D32" s="18"/>
      <c r="E32" s="19"/>
      <c r="F32" s="6">
        <v>30000</v>
      </c>
      <c r="G32" s="6">
        <v>5</v>
      </c>
      <c r="H32" s="6">
        <f t="shared" si="2"/>
        <v>150000</v>
      </c>
      <c r="I32" s="6">
        <f>ROUND(H32*0.1,0)</f>
        <v>15000</v>
      </c>
      <c r="J32" s="7">
        <f>H32+I32</f>
        <v>165000</v>
      </c>
    </row>
    <row r="33" spans="2:10" ht="18" customHeight="1" x14ac:dyDescent="0.2">
      <c r="B33" s="14" t="s">
        <v>39</v>
      </c>
      <c r="C33" s="15"/>
      <c r="D33" s="15"/>
      <c r="E33" s="16"/>
      <c r="F33" s="8">
        <v>16000</v>
      </c>
      <c r="G33" s="8">
        <v>5</v>
      </c>
      <c r="H33" s="8">
        <f t="shared" si="2"/>
        <v>80000</v>
      </c>
      <c r="I33" s="8">
        <f>ROUND(H33*0.1,0)</f>
        <v>8000</v>
      </c>
      <c r="J33" s="9">
        <f>H33+I33</f>
        <v>88000</v>
      </c>
    </row>
    <row r="34" spans="2:10" ht="18" customHeight="1" x14ac:dyDescent="0.2">
      <c r="B34" s="17" t="s">
        <v>40</v>
      </c>
      <c r="C34" s="18"/>
      <c r="D34" s="18"/>
      <c r="E34" s="19"/>
      <c r="F34" s="6">
        <v>36000</v>
      </c>
      <c r="G34" s="6">
        <v>5</v>
      </c>
      <c r="H34" s="6">
        <f t="shared" si="2"/>
        <v>180000</v>
      </c>
      <c r="I34" s="6">
        <f>ROUND(H34*0.1,0)</f>
        <v>18000</v>
      </c>
      <c r="J34" s="7">
        <f>H34+I34</f>
        <v>198000</v>
      </c>
    </row>
    <row r="35" spans="2:10" ht="18" customHeight="1" x14ac:dyDescent="0.2">
      <c r="B35" s="14" t="s">
        <v>41</v>
      </c>
      <c r="C35" s="15"/>
      <c r="D35" s="15"/>
      <c r="E35" s="16"/>
      <c r="F35" s="8">
        <v>39000</v>
      </c>
      <c r="G35" s="8">
        <v>5</v>
      </c>
      <c r="H35" s="8">
        <f t="shared" si="2"/>
        <v>195000</v>
      </c>
      <c r="I35" s="8">
        <f>ROUND(H35*0.1,0)</f>
        <v>19500</v>
      </c>
      <c r="J35" s="9">
        <f>H35+I35</f>
        <v>214500</v>
      </c>
    </row>
    <row r="36" spans="2:10" ht="18" customHeight="1" x14ac:dyDescent="0.2">
      <c r="B36" s="33" t="s">
        <v>42</v>
      </c>
      <c r="C36" s="34"/>
      <c r="D36" s="34"/>
      <c r="E36" s="35"/>
      <c r="F36" s="6">
        <v>48000</v>
      </c>
      <c r="G36" s="6">
        <v>5</v>
      </c>
      <c r="H36" s="8">
        <f t="shared" si="2"/>
        <v>240000</v>
      </c>
      <c r="I36" s="8">
        <f>ROUND(H36*0.1,0)</f>
        <v>24000</v>
      </c>
      <c r="J36" s="9">
        <f>H36+I36</f>
        <v>264000</v>
      </c>
    </row>
    <row r="37" spans="2:10" ht="18" customHeight="1" thickBot="1" x14ac:dyDescent="0.25">
      <c r="B37" s="36"/>
      <c r="C37" s="37"/>
      <c r="D37" s="37"/>
      <c r="E37" s="38"/>
      <c r="F37" s="10"/>
      <c r="G37" s="10"/>
      <c r="H37" s="10"/>
      <c r="I37" s="10"/>
      <c r="J37" s="11"/>
    </row>
    <row r="38" spans="2:10" ht="15.75" customHeight="1" x14ac:dyDescent="0.2"/>
    <row r="39" spans="2:10" ht="18" customHeight="1" x14ac:dyDescent="0.2">
      <c r="E39" s="12" t="s">
        <v>15</v>
      </c>
      <c r="F39" s="12"/>
      <c r="G39" s="12"/>
      <c r="H39" s="12"/>
      <c r="I39" s="21">
        <f>SUM(H18:H37)</f>
        <v>1885000</v>
      </c>
      <c r="J39" s="21"/>
    </row>
    <row r="40" spans="2:10" ht="18" customHeight="1" x14ac:dyDescent="0.2">
      <c r="E40" s="12" t="s">
        <v>16</v>
      </c>
      <c r="F40" s="12"/>
      <c r="G40" s="12"/>
      <c r="H40" s="12"/>
      <c r="I40" s="21">
        <f>SUM(I18:I37)</f>
        <v>188500</v>
      </c>
      <c r="J40" s="21"/>
    </row>
    <row r="41" spans="2:10" ht="18" customHeight="1" x14ac:dyDescent="0.2">
      <c r="E41" s="13" t="s">
        <v>17</v>
      </c>
      <c r="F41" s="13"/>
      <c r="G41" s="13"/>
      <c r="H41" s="13"/>
      <c r="I41" s="22">
        <f>I39+I40</f>
        <v>2073500</v>
      </c>
      <c r="J41" s="22"/>
    </row>
    <row r="42" spans="2:10" ht="6" customHeight="1" x14ac:dyDescent="0.2"/>
    <row r="43" spans="2:10" ht="13.5" customHeight="1" x14ac:dyDescent="0.2">
      <c r="B43" s="23" t="s">
        <v>18</v>
      </c>
      <c r="C43" s="23"/>
      <c r="D43" s="23"/>
      <c r="E43" s="23"/>
      <c r="F43" s="23"/>
      <c r="G43" s="23"/>
      <c r="H43" s="23"/>
      <c r="I43" s="23"/>
      <c r="J43" s="23"/>
    </row>
    <row r="44" spans="2:10" ht="45" customHeight="1" x14ac:dyDescent="0.2">
      <c r="B44" s="24" t="s">
        <v>19</v>
      </c>
      <c r="C44" s="24"/>
      <c r="D44" s="24"/>
      <c r="E44" s="24"/>
      <c r="F44" s="24"/>
      <c r="G44" s="24"/>
      <c r="H44" s="24"/>
      <c r="I44" s="24"/>
      <c r="J44" s="24"/>
    </row>
    <row r="45" spans="2:10" ht="7.5" customHeight="1" x14ac:dyDescent="0.2"/>
    <row r="46" spans="2:10" ht="9.75" customHeight="1" x14ac:dyDescent="0.2"/>
    <row r="47" spans="2:10" ht="49.5" customHeight="1" x14ac:dyDescent="0.2">
      <c r="B47" s="20" t="s">
        <v>22</v>
      </c>
      <c r="C47" s="20"/>
      <c r="D47" s="20"/>
      <c r="E47" s="20"/>
      <c r="F47" s="20"/>
      <c r="G47" s="20"/>
      <c r="H47" s="20"/>
      <c r="I47" s="20"/>
      <c r="J47" s="20"/>
    </row>
    <row r="48" spans="2:10" ht="7.5" customHeight="1" x14ac:dyDescent="0.2"/>
  </sheetData>
  <mergeCells count="43">
    <mergeCell ref="B20:E20"/>
    <mergeCell ref="H13:J13"/>
    <mergeCell ref="H14:J14"/>
    <mergeCell ref="B17:E17"/>
    <mergeCell ref="B18:E18"/>
    <mergeCell ref="B19:E19"/>
    <mergeCell ref="C13:D13"/>
    <mergeCell ref="C14:D14"/>
    <mergeCell ref="C15:D15"/>
    <mergeCell ref="B2:D2"/>
    <mergeCell ref="I2:J2"/>
    <mergeCell ref="B3:D3"/>
    <mergeCell ref="I4:J4"/>
    <mergeCell ref="H3:J3"/>
    <mergeCell ref="I5:J5"/>
    <mergeCell ref="I6:J6"/>
    <mergeCell ref="B10:D10"/>
    <mergeCell ref="E10:J10"/>
    <mergeCell ref="C12:D12"/>
    <mergeCell ref="H12:J12"/>
    <mergeCell ref="B21:E21"/>
    <mergeCell ref="B22:E22"/>
    <mergeCell ref="B23:E23"/>
    <mergeCell ref="B47:J47"/>
    <mergeCell ref="I39:J39"/>
    <mergeCell ref="I40:J40"/>
    <mergeCell ref="I41:J41"/>
    <mergeCell ref="B43:J43"/>
    <mergeCell ref="B44:J44"/>
    <mergeCell ref="B36:E36"/>
    <mergeCell ref="B37:E37"/>
    <mergeCell ref="B34:E34"/>
    <mergeCell ref="B35:E35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</mergeCells>
  <phoneticPr fontId="15" type="noConversion"/>
  <pageMargins left="0.5" right="0.5" top="0.5" bottom="0.5" header="0.511811023622047" footer="0.511811023622047"/>
  <pageSetup paperSize="9" scale="98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민경 박</cp:lastModifiedBy>
  <cp:revision>0</cp:revision>
  <cp:lastPrinted>2026-03-07T06:14:53Z</cp:lastPrinted>
  <dcterms:created xsi:type="dcterms:W3CDTF">2026-03-07T05:23:58Z</dcterms:created>
  <dcterms:modified xsi:type="dcterms:W3CDTF">2026-03-15T12:56:25Z</dcterms:modified>
  <dc:language>en-US</dc:language>
</cp:coreProperties>
</file>